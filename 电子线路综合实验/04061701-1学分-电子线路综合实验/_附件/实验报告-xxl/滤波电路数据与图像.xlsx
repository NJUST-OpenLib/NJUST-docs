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a28223f2085f4b/ドキュメント/大二下/电子线路综合实验/"/>
    </mc:Choice>
  </mc:AlternateContent>
  <xr:revisionPtr revIDLastSave="0" documentId="8_{00F29800-EF99-4985-B9B9-C09DB6A7DBCE}" xr6:coauthVersionLast="47" xr6:coauthVersionMax="47" xr10:uidLastSave="{00000000-0000-0000-0000-000000000000}"/>
  <bookViews>
    <workbookView xWindow="-110" yWindow="-110" windowWidth="25820" windowHeight="13900" xr2:uid="{E1D3324D-C2F3-43A7-8562-633625174F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5" i="1" l="1"/>
  <c r="M45" i="1"/>
  <c r="N45" i="1"/>
  <c r="O45" i="1"/>
  <c r="P45" i="1"/>
  <c r="Q45" i="1"/>
  <c r="K45" i="1"/>
  <c r="L24" i="1"/>
  <c r="M24" i="1"/>
  <c r="N24" i="1"/>
  <c r="O24" i="1"/>
  <c r="P24" i="1"/>
  <c r="Q24" i="1"/>
  <c r="K24" i="1"/>
  <c r="L4" i="1"/>
  <c r="M4" i="1"/>
  <c r="N4" i="1"/>
  <c r="O4" i="1"/>
  <c r="P4" i="1"/>
  <c r="Q4" i="1"/>
  <c r="K4" i="1"/>
  <c r="C24" i="1"/>
  <c r="D24" i="1"/>
  <c r="E24" i="1"/>
  <c r="F24" i="1"/>
  <c r="G24" i="1"/>
  <c r="H24" i="1"/>
  <c r="B24" i="1"/>
  <c r="C4" i="1"/>
  <c r="D4" i="1"/>
  <c r="E4" i="1"/>
  <c r="F4" i="1"/>
  <c r="G4" i="1"/>
  <c r="H4" i="1"/>
  <c r="B4" i="1"/>
</calcChain>
</file>

<file path=xl/sharedStrings.xml><?xml version="1.0" encoding="utf-8"?>
<sst xmlns="http://schemas.openxmlformats.org/spreadsheetml/2006/main" count="30" uniqueCount="8">
  <si>
    <t>4k</t>
  </si>
  <si>
    <t>40k</t>
  </si>
  <si>
    <t>频率 </t>
  </si>
  <si>
    <t>输出电压 </t>
  </si>
  <si>
    <t>放大倍数 </t>
  </si>
  <si>
    <t>频率（Hz）</t>
  </si>
  <si>
    <t>40k</t>
    <phoneticPr fontId="1" type="noConversion"/>
  </si>
  <si>
    <t>4k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</si>
</sst>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放大倍数 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Sheet1!$B$1:$H$1</c:f>
              <c:strCache>
                <c:ptCount val="7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4k</c:v>
                </c:pt>
                <c:pt idx="6">
                  <c:v>40k</c:v>
                </c:pt>
              </c:strCache>
            </c:strRef>
          </c:cat>
          <c:val>
            <c:numRef>
              <c:f>Sheet1!$B$4:$H$4</c:f>
              <c:numCache>
                <c:formatCode>General</c:formatCode>
                <c:ptCount val="7"/>
                <c:pt idx="0">
                  <c:v>5.1959614398171892E-2</c:v>
                </c:pt>
                <c:pt idx="1">
                  <c:v>6.9210642190129776E-2</c:v>
                </c:pt>
                <c:pt idx="2">
                  <c:v>-3.4813231526025404E-2</c:v>
                </c:pt>
                <c:pt idx="3">
                  <c:v>-8.7296108049001758E-2</c:v>
                </c:pt>
                <c:pt idx="4">
                  <c:v>-0.19322290424797137</c:v>
                </c:pt>
                <c:pt idx="5">
                  <c:v>-8.3587327417658255</c:v>
                </c:pt>
                <c:pt idx="6">
                  <c:v>-27.13094647027625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EB-43E7-8A82-DC3FFE621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720416"/>
        <c:axId val="1281723296"/>
      </c:lineChart>
      <c:catAx>
        <c:axId val="128172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1723296"/>
        <c:crosses val="autoZero"/>
        <c:auto val="1"/>
        <c:lblAlgn val="ctr"/>
        <c:lblOffset val="100"/>
        <c:noMultiLvlLbl val="0"/>
      </c:catAx>
      <c:valAx>
        <c:axId val="128172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172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Sheet1!$A$24</c:f>
              <c:strCache>
                <c:ptCount val="1"/>
                <c:pt idx="0">
                  <c:v>放大倍数 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Sheet1!$B$21:$H$21</c:f>
              <c:strCache>
                <c:ptCount val="7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4k</c:v>
                </c:pt>
                <c:pt idx="6">
                  <c:v>40k</c:v>
                </c:pt>
              </c:strCache>
            </c:strRef>
          </c:cat>
          <c:val>
            <c:numRef>
              <c:f>Sheet1!$B$24:$H$24</c:f>
              <c:numCache>
                <c:formatCode>General</c:formatCode>
                <c:ptCount val="7"/>
                <c:pt idx="0">
                  <c:v>-10.574165778821229</c:v>
                </c:pt>
                <c:pt idx="1">
                  <c:v>-5.6799331273040163</c:v>
                </c:pt>
                <c:pt idx="2">
                  <c:v>-2.4525730826045189</c:v>
                </c:pt>
                <c:pt idx="3">
                  <c:v>-1.1301096818779486</c:v>
                </c:pt>
                <c:pt idx="4">
                  <c:v>-0.66778026636131294</c:v>
                </c:pt>
                <c:pt idx="5">
                  <c:v>-0.1577702442610068</c:v>
                </c:pt>
                <c:pt idx="6">
                  <c:v>-0.12246170117577589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98-4F87-A764-63AC97AEC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7663520"/>
        <c:axId val="1087674080"/>
      </c:lineChart>
      <c:catAx>
        <c:axId val="108766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7674080"/>
        <c:crosses val="autoZero"/>
        <c:auto val="1"/>
        <c:lblAlgn val="ctr"/>
        <c:lblOffset val="100"/>
        <c:noMultiLvlLbl val="0"/>
      </c:catAx>
      <c:valAx>
        <c:axId val="108767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766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Sheet1!$J$4</c:f>
              <c:strCache>
                <c:ptCount val="1"/>
                <c:pt idx="0">
                  <c:v>放大倍数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Sheet1!$K$1:$Q$1</c:f>
              <c:strCache>
                <c:ptCount val="7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4k</c:v>
                </c:pt>
                <c:pt idx="6">
                  <c:v>40k</c:v>
                </c:pt>
              </c:strCache>
            </c:strRef>
          </c:cat>
          <c:val>
            <c:numRef>
              <c:f>Sheet1!$K$4:$Q$4</c:f>
              <c:numCache>
                <c:formatCode>General</c:formatCode>
                <c:ptCount val="7"/>
                <c:pt idx="0">
                  <c:v>-21.310030975128647</c:v>
                </c:pt>
                <c:pt idx="1">
                  <c:v>-11.56792146260338</c:v>
                </c:pt>
                <c:pt idx="2">
                  <c:v>-4.6717430577520105</c:v>
                </c:pt>
                <c:pt idx="3">
                  <c:v>-2.429564089975869</c:v>
                </c:pt>
                <c:pt idx="4">
                  <c:v>-1.4320829548657237</c:v>
                </c:pt>
                <c:pt idx="5">
                  <c:v>-0.175478486150103</c:v>
                </c:pt>
                <c:pt idx="6">
                  <c:v>-0.14009803137316978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83-468B-B109-ACB7FCC9D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7671392"/>
        <c:axId val="1287669952"/>
      </c:lineChart>
      <c:catAx>
        <c:axId val="128767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7669952"/>
        <c:crosses val="autoZero"/>
        <c:auto val="1"/>
        <c:lblAlgn val="ctr"/>
        <c:lblOffset val="100"/>
        <c:noMultiLvlLbl val="0"/>
      </c:catAx>
      <c:valAx>
        <c:axId val="128766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767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Sheet1!$K$21:$Q$21</c:f>
              <c:strCache>
                <c:ptCount val="7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4k</c:v>
                </c:pt>
                <c:pt idx="6">
                  <c:v>40k</c:v>
                </c:pt>
              </c:strCache>
            </c:strRef>
          </c:cat>
          <c:val>
            <c:numRef>
              <c:f>Sheet1!$K$24:$Q$24</c:f>
              <c:numCache>
                <c:formatCode>General</c:formatCode>
                <c:ptCount val="7"/>
                <c:pt idx="0">
                  <c:v>-39.493882694704595</c:v>
                </c:pt>
                <c:pt idx="1">
                  <c:v>-19.1721462968355</c:v>
                </c:pt>
                <c:pt idx="2">
                  <c:v>-7.5764743644992958</c:v>
                </c:pt>
                <c:pt idx="3">
                  <c:v>-3.8492994386229347</c:v>
                </c:pt>
                <c:pt idx="4">
                  <c:v>-2.3381328284862013</c:v>
                </c:pt>
                <c:pt idx="5">
                  <c:v>-0.21100364666616389</c:v>
                </c:pt>
                <c:pt idx="6">
                  <c:v>-0.1577702442610068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DF-4D17-A11A-BE36D7BC0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682832"/>
        <c:axId val="1281681872"/>
      </c:lineChart>
      <c:catAx>
        <c:axId val="128168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1681872"/>
        <c:crosses val="autoZero"/>
        <c:auto val="1"/>
        <c:lblAlgn val="ctr"/>
        <c:lblOffset val="100"/>
        <c:noMultiLvlLbl val="0"/>
      </c:catAx>
      <c:valAx>
        <c:axId val="128168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168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Sheet1!$K$42:$Q$42</c:f>
              <c:strCache>
                <c:ptCount val="7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4k</c:v>
                </c:pt>
                <c:pt idx="6">
                  <c:v>40k</c:v>
                </c:pt>
              </c:strCache>
            </c:strRef>
          </c:cat>
          <c:val>
            <c:numRef>
              <c:f>Sheet1!$K$45:$Q$45</c:f>
              <c:numCache>
                <c:formatCode>General</c:formatCode>
                <c:ptCount val="7"/>
                <c:pt idx="0">
                  <c:v>-44.928338822141868</c:v>
                </c:pt>
                <c:pt idx="1">
                  <c:v>-5.8827257543216147</c:v>
                </c:pt>
                <c:pt idx="2">
                  <c:v>-2.6153656053804761</c:v>
                </c:pt>
                <c:pt idx="3">
                  <c:v>-1.8088794151764933</c:v>
                </c:pt>
                <c:pt idx="4">
                  <c:v>-1.7661968249227777</c:v>
                </c:pt>
                <c:pt idx="5">
                  <c:v>-14.424927980943421</c:v>
                </c:pt>
                <c:pt idx="6">
                  <c:v>-47.702055679337306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9A-4E6D-8B94-58F480BF0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970080"/>
        <c:axId val="1176969600"/>
      </c:lineChart>
      <c:catAx>
        <c:axId val="117697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6969600"/>
        <c:crosses val="autoZero"/>
        <c:auto val="1"/>
        <c:lblAlgn val="ctr"/>
        <c:lblOffset val="100"/>
        <c:noMultiLvlLbl val="0"/>
      </c:catAx>
      <c:valAx>
        <c:axId val="117696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697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170793</xdr:colOff>
      <xdr:row>4</xdr:row>
      <xdr:rowOff>62624</xdr:rowOff>
    </xdr:from>
    <xdr:to>
      <xdr:col>7</xdr:col>
      <xdr:colOff>113862</xdr:colOff>
      <xdr:row>19</xdr:row>
      <xdr:rowOff>112548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7BF38F7A-5E92-2D75-482A-874236530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38538</xdr:rowOff>
    </xdr:from>
    <xdr:to>
      <xdr:col>6</xdr:col>
      <xdr:colOff>604345</xdr:colOff>
      <xdr:row>39</xdr:row>
      <xdr:rowOff>88462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9AB50877-96F6-4593-E1A4-0CB845865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74448</xdr:colOff>
      <xdr:row>4</xdr:row>
      <xdr:rowOff>86710</xdr:rowOff>
    </xdr:from>
    <xdr:to>
      <xdr:col>16</xdr:col>
      <xdr:colOff>17517</xdr:colOff>
      <xdr:row>19</xdr:row>
      <xdr:rowOff>136634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156734E2-0A1B-6587-F3A1-4108B52E9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13357</xdr:colOff>
      <xdr:row>24</xdr:row>
      <xdr:rowOff>112110</xdr:rowOff>
    </xdr:from>
    <xdr:to>
      <xdr:col>15</xdr:col>
      <xdr:colOff>616826</xdr:colOff>
      <xdr:row>39</xdr:row>
      <xdr:rowOff>162034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EAD7397C-798B-13F2-0EF8-941D96FEC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6350</xdr:colOff>
      <xdr:row>46</xdr:row>
      <xdr:rowOff>25400</xdr:rowOff>
    </xdr:from>
    <xdr:to>
      <xdr:col>15</xdr:col>
      <xdr:colOff>615950</xdr:colOff>
      <xdr:row>61</xdr:row>
      <xdr:rowOff>101600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B9585BB5-693E-D0AF-B319-316D96731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B6017-3C4B-43C1-B863-487F513B6519}">
  <dimension ref="A1:Q45"/>
  <sheetViews>
    <sheetView tabSelected="1" topLeftCell="A34" zoomScaleNormal="100" workbookViewId="0">
      <selection activeCell="K45" activeCellId="1" sqref="K42:Q42 K45:Q45"/>
    </sheetView>
  </sheetViews>
  <sheetFormatPr defaultRowHeight="14" x14ac:dyDescent="0.3"/>
  <sheetData>
    <row r="1" spans="1:17" x14ac:dyDescent="0.3">
      <c r="A1" t="s">
        <v>2</v>
      </c>
      <c r="B1">
        <v>50</v>
      </c>
      <c r="C1">
        <v>100</v>
      </c>
      <c r="D1">
        <v>200</v>
      </c>
      <c r="E1">
        <v>300</v>
      </c>
      <c r="F1">
        <v>400</v>
      </c>
      <c r="G1" t="s">
        <v>0</v>
      </c>
      <c r="H1" t="s">
        <v>1</v>
      </c>
      <c r="J1" t="s">
        <v>2</v>
      </c>
      <c r="K1">
        <v>50</v>
      </c>
      <c r="L1">
        <v>100</v>
      </c>
      <c r="M1">
        <v>200</v>
      </c>
      <c r="N1">
        <v>300</v>
      </c>
      <c r="O1">
        <v>400</v>
      </c>
      <c r="P1" t="s">
        <v>0</v>
      </c>
      <c r="Q1" t="s">
        <v>1</v>
      </c>
    </row>
    <row r="2" spans="1:17" x14ac:dyDescent="0.3">
      <c r="A2" t="s">
        <v>3</v>
      </c>
      <c r="B2">
        <v>0.503</v>
      </c>
      <c r="C2">
        <v>0.504</v>
      </c>
      <c r="D2">
        <v>0.498</v>
      </c>
      <c r="E2">
        <v>0.495</v>
      </c>
      <c r="F2">
        <v>0.48899999999999999</v>
      </c>
      <c r="G2">
        <v>0.191</v>
      </c>
      <c r="H2">
        <v>2.1999999999999999E-2</v>
      </c>
      <c r="J2" t="s">
        <v>3</v>
      </c>
      <c r="K2">
        <v>4.2999999999999997E-2</v>
      </c>
      <c r="L2">
        <v>0.13200000000000001</v>
      </c>
      <c r="M2">
        <v>0.29199999999999998</v>
      </c>
      <c r="N2">
        <v>0.378</v>
      </c>
      <c r="O2">
        <v>0.42399999999999999</v>
      </c>
      <c r="P2">
        <v>0.49</v>
      </c>
      <c r="Q2">
        <v>0.49199999999999999</v>
      </c>
    </row>
    <row r="3" spans="1:17" x14ac:dyDescent="0.3">
      <c r="A3" t="s">
        <v>4</v>
      </c>
      <c r="B3">
        <v>1.006</v>
      </c>
      <c r="C3">
        <v>1.008</v>
      </c>
      <c r="D3">
        <v>0.996</v>
      </c>
      <c r="E3">
        <v>0.99</v>
      </c>
      <c r="F3">
        <v>0.97799999999999998</v>
      </c>
      <c r="G3">
        <v>0.38200000000000001</v>
      </c>
      <c r="H3">
        <v>4.3999999999999997E-2</v>
      </c>
      <c r="J3" t="s">
        <v>4</v>
      </c>
      <c r="K3">
        <v>8.5999999999999993E-2</v>
      </c>
      <c r="L3">
        <v>0.26400000000000001</v>
      </c>
      <c r="M3">
        <v>0.58399999999999996</v>
      </c>
      <c r="N3">
        <v>0.75600000000000001</v>
      </c>
      <c r="O3">
        <v>0.84799999999999998</v>
      </c>
      <c r="P3">
        <v>0.98</v>
      </c>
      <c r="Q3">
        <v>0.98399999999999999</v>
      </c>
    </row>
    <row r="4" spans="1:17" x14ac:dyDescent="0.3">
      <c r="A4" t="s">
        <v>4</v>
      </c>
      <c r="B4">
        <f>20*LOG(B3)</f>
        <v>5.1959614398171892E-2</v>
      </c>
      <c r="C4">
        <f t="shared" ref="C4:H4" si="0">20*LOG(C3)</f>
        <v>6.9210642190129776E-2</v>
      </c>
      <c r="D4">
        <f t="shared" si="0"/>
        <v>-3.4813231526025404E-2</v>
      </c>
      <c r="E4">
        <f t="shared" si="0"/>
        <v>-8.7296108049001758E-2</v>
      </c>
      <c r="F4">
        <f t="shared" si="0"/>
        <v>-0.19322290424797137</v>
      </c>
      <c r="G4">
        <f t="shared" si="0"/>
        <v>-8.3587327417658255</v>
      </c>
      <c r="H4">
        <f t="shared" si="0"/>
        <v>-27.13094647027625</v>
      </c>
      <c r="J4" t="s">
        <v>4</v>
      </c>
      <c r="K4">
        <f>20*LOG(K3)</f>
        <v>-21.310030975128647</v>
      </c>
      <c r="L4">
        <f t="shared" ref="L4:Q4" si="1">20*LOG(L3)</f>
        <v>-11.56792146260338</v>
      </c>
      <c r="M4">
        <f t="shared" si="1"/>
        <v>-4.6717430577520105</v>
      </c>
      <c r="N4">
        <f t="shared" si="1"/>
        <v>-2.429564089975869</v>
      </c>
      <c r="O4">
        <f t="shared" si="1"/>
        <v>-1.4320829548657237</v>
      </c>
      <c r="P4">
        <f t="shared" si="1"/>
        <v>-0.175478486150103</v>
      </c>
      <c r="Q4">
        <f t="shared" si="1"/>
        <v>-0.14009803137316978</v>
      </c>
    </row>
    <row r="21" spans="1:17" x14ac:dyDescent="0.3">
      <c r="A21" t="s">
        <v>5</v>
      </c>
      <c r="B21">
        <v>50</v>
      </c>
      <c r="C21">
        <v>100</v>
      </c>
      <c r="D21">
        <v>200</v>
      </c>
      <c r="E21">
        <v>300</v>
      </c>
      <c r="F21">
        <v>400</v>
      </c>
      <c r="G21" t="s">
        <v>7</v>
      </c>
      <c r="H21" t="s">
        <v>6</v>
      </c>
      <c r="J21" t="s">
        <v>5</v>
      </c>
      <c r="K21">
        <v>50</v>
      </c>
      <c r="L21">
        <v>100</v>
      </c>
      <c r="M21">
        <v>200</v>
      </c>
      <c r="N21">
        <v>300</v>
      </c>
      <c r="O21">
        <v>400</v>
      </c>
      <c r="P21" t="s">
        <v>0</v>
      </c>
      <c r="Q21" t="s">
        <v>1</v>
      </c>
    </row>
    <row r="22" spans="1:17" x14ac:dyDescent="0.3">
      <c r="A22" t="s">
        <v>3</v>
      </c>
      <c r="B22">
        <v>0.14799999999999999</v>
      </c>
      <c r="C22">
        <v>0.26</v>
      </c>
      <c r="D22">
        <v>0.377</v>
      </c>
      <c r="E22">
        <v>0.439</v>
      </c>
      <c r="F22">
        <v>0.46300000000000002</v>
      </c>
      <c r="G22">
        <v>0.49099999999999999</v>
      </c>
      <c r="H22">
        <v>0.49299999999999999</v>
      </c>
      <c r="J22" t="s">
        <v>3</v>
      </c>
      <c r="K22">
        <v>5.3099999999999996E-3</v>
      </c>
      <c r="L22">
        <v>5.5199999999999999E-2</v>
      </c>
      <c r="M22">
        <v>0.20899999999999999</v>
      </c>
      <c r="N22">
        <v>0.32100000000000001</v>
      </c>
      <c r="O22">
        <v>0.38200000000000001</v>
      </c>
      <c r="P22">
        <v>0.48799999999999999</v>
      </c>
      <c r="Q22">
        <v>0.49099999999999999</v>
      </c>
    </row>
    <row r="23" spans="1:17" x14ac:dyDescent="0.3">
      <c r="A23" t="s">
        <v>4</v>
      </c>
      <c r="B23">
        <v>0.29599999999999999</v>
      </c>
      <c r="C23">
        <v>0.52</v>
      </c>
      <c r="D23">
        <v>0.754</v>
      </c>
      <c r="E23">
        <v>0.878</v>
      </c>
      <c r="F23">
        <v>0.92600000000000005</v>
      </c>
      <c r="G23">
        <v>0.98199999999999998</v>
      </c>
      <c r="H23">
        <v>0.98599999999999999</v>
      </c>
      <c r="J23" t="s">
        <v>4</v>
      </c>
      <c r="K23">
        <v>1.06E-2</v>
      </c>
      <c r="L23">
        <v>0.11</v>
      </c>
      <c r="M23">
        <v>0.41799999999999998</v>
      </c>
      <c r="N23">
        <v>0.64200000000000002</v>
      </c>
      <c r="O23">
        <v>0.76400000000000001</v>
      </c>
      <c r="P23">
        <v>0.97599999999999998</v>
      </c>
      <c r="Q23">
        <v>0.98199999999999998</v>
      </c>
    </row>
    <row r="24" spans="1:17" x14ac:dyDescent="0.3">
      <c r="A24" t="s">
        <v>4</v>
      </c>
      <c r="B24">
        <f>20*LOG(B23)</f>
        <v>-10.574165778821229</v>
      </c>
      <c r="C24">
        <f t="shared" ref="C24:H24" si="2">20*LOG(C23)</f>
        <v>-5.6799331273040163</v>
      </c>
      <c r="D24">
        <f t="shared" si="2"/>
        <v>-2.4525730826045189</v>
      </c>
      <c r="E24">
        <f t="shared" si="2"/>
        <v>-1.1301096818779486</v>
      </c>
      <c r="F24">
        <f t="shared" si="2"/>
        <v>-0.66778026636131294</v>
      </c>
      <c r="G24">
        <f t="shared" si="2"/>
        <v>-0.1577702442610068</v>
      </c>
      <c r="H24">
        <f t="shared" si="2"/>
        <v>-0.12246170117577589</v>
      </c>
      <c r="J24" t="s">
        <v>4</v>
      </c>
      <c r="K24">
        <f>20*LOG(K23)</f>
        <v>-39.493882694704595</v>
      </c>
      <c r="L24">
        <f t="shared" ref="L24:Q24" si="3">20*LOG(L23)</f>
        <v>-19.1721462968355</v>
      </c>
      <c r="M24">
        <f t="shared" si="3"/>
        <v>-7.5764743644992958</v>
      </c>
      <c r="N24">
        <f t="shared" si="3"/>
        <v>-3.8492994386229347</v>
      </c>
      <c r="O24">
        <f t="shared" si="3"/>
        <v>-2.3381328284862013</v>
      </c>
      <c r="P24">
        <f t="shared" si="3"/>
        <v>-0.21100364666616389</v>
      </c>
      <c r="Q24">
        <f t="shared" si="3"/>
        <v>-0.1577702442610068</v>
      </c>
    </row>
    <row r="42" spans="10:17" x14ac:dyDescent="0.3">
      <c r="J42" t="s">
        <v>5</v>
      </c>
      <c r="K42">
        <v>50</v>
      </c>
      <c r="L42">
        <v>100</v>
      </c>
      <c r="M42">
        <v>200</v>
      </c>
      <c r="N42">
        <v>300</v>
      </c>
      <c r="O42">
        <v>400</v>
      </c>
      <c r="P42" t="s">
        <v>0</v>
      </c>
      <c r="Q42" t="s">
        <v>1</v>
      </c>
    </row>
    <row r="43" spans="10:17" x14ac:dyDescent="0.3">
      <c r="J43" t="s">
        <v>3</v>
      </c>
      <c r="K43">
        <v>2.8349999999999998E-3</v>
      </c>
      <c r="L43">
        <v>0.254</v>
      </c>
      <c r="M43">
        <v>0.37</v>
      </c>
      <c r="N43">
        <v>0.40600000000000003</v>
      </c>
      <c r="O43">
        <v>0.40799999999999997</v>
      </c>
      <c r="P43">
        <v>9.4799999999999995E-2</v>
      </c>
      <c r="Q43">
        <v>2.0600000000000002E-3</v>
      </c>
    </row>
    <row r="44" spans="10:17" x14ac:dyDescent="0.3">
      <c r="J44" t="s">
        <v>4</v>
      </c>
      <c r="K44">
        <v>5.6699999999999997E-3</v>
      </c>
      <c r="L44">
        <v>0.50800000000000001</v>
      </c>
      <c r="M44">
        <v>0.74</v>
      </c>
      <c r="N44">
        <v>0.81200000000000006</v>
      </c>
      <c r="O44">
        <v>0.81599999999999995</v>
      </c>
      <c r="P44">
        <v>0.19</v>
      </c>
      <c r="Q44">
        <v>4.1200000000000004E-3</v>
      </c>
    </row>
    <row r="45" spans="10:17" x14ac:dyDescent="0.3">
      <c r="J45" t="s">
        <v>4</v>
      </c>
      <c r="K45">
        <f>20*LOG(K44)</f>
        <v>-44.928338822141868</v>
      </c>
      <c r="L45">
        <f t="shared" ref="L45:Q45" si="4">20*LOG(L44)</f>
        <v>-5.8827257543216147</v>
      </c>
      <c r="M45">
        <f t="shared" si="4"/>
        <v>-2.6153656053804761</v>
      </c>
      <c r="N45">
        <f t="shared" si="4"/>
        <v>-1.8088794151764933</v>
      </c>
      <c r="O45">
        <f t="shared" si="4"/>
        <v>-1.7661968249227777</v>
      </c>
      <c r="P45">
        <f t="shared" si="4"/>
        <v>-14.424927980943421</v>
      </c>
      <c r="Q45">
        <f t="shared" si="4"/>
        <v>-47.702055679337306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744311194@qq.com</dc:creator>
  <cp:lastModifiedBy>744311194@qq.com</cp:lastModifiedBy>
  <dcterms:created xsi:type="dcterms:W3CDTF">2026-06-17T13:18:25Z</dcterms:created>
  <dcterms:modified xsi:type="dcterms:W3CDTF">2026-06-17T15:50:21Z</dcterms:modified>
</cp:coreProperties>
</file>