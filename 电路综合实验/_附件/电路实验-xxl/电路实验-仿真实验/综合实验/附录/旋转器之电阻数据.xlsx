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大学文件\课程学习\大二上\电路实验仿真\082肖心亮924110800231（评优）\综合实验\"/>
    </mc:Choice>
  </mc:AlternateContent>
  <xr:revisionPtr revIDLastSave="0" documentId="13_ncr:1_{42B06225-3E54-4EE3-9C37-3F58F843B0D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2" i="1"/>
  <c r="F2" i="1"/>
  <c r="H2" i="1" s="1"/>
  <c r="H25" i="1"/>
  <c r="H26" i="1"/>
  <c r="H27" i="1"/>
  <c r="F3" i="1"/>
  <c r="H3" i="1" s="1"/>
  <c r="F4" i="1"/>
  <c r="H4" i="1" s="1"/>
  <c r="F5" i="1"/>
  <c r="H5" i="1" s="1"/>
  <c r="F6" i="1"/>
  <c r="H6" i="1" s="1"/>
  <c r="F7" i="1"/>
  <c r="F8" i="1"/>
  <c r="F9" i="1"/>
  <c r="F10" i="1"/>
  <c r="F11" i="1"/>
  <c r="F12" i="1"/>
  <c r="F13" i="1"/>
  <c r="H13" i="1" s="1"/>
  <c r="F14" i="1"/>
  <c r="F15" i="1"/>
  <c r="F16" i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F26" i="1"/>
  <c r="F27" i="1"/>
  <c r="F28" i="1"/>
  <c r="F29" i="1"/>
  <c r="F30" i="1"/>
  <c r="F31" i="1"/>
  <c r="G3" i="1"/>
  <c r="G4" i="1"/>
  <c r="G5" i="1"/>
  <c r="G6" i="1"/>
  <c r="G7" i="1"/>
  <c r="G8" i="1"/>
  <c r="G9" i="1"/>
  <c r="H9" i="1" s="1"/>
  <c r="G10" i="1"/>
  <c r="H10" i="1" s="1"/>
  <c r="G11" i="1"/>
  <c r="H11" i="1" s="1"/>
  <c r="G12" i="1"/>
  <c r="H12" i="1" s="1"/>
  <c r="G13" i="1"/>
  <c r="G14" i="1"/>
  <c r="H14" i="1" s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H28" i="1" s="1"/>
  <c r="G29" i="1"/>
  <c r="G30" i="1"/>
  <c r="G31" i="1"/>
  <c r="H8" i="1" l="1"/>
  <c r="H16" i="1"/>
  <c r="H31" i="1"/>
  <c r="H30" i="1"/>
  <c r="H29" i="1"/>
  <c r="H7" i="1"/>
  <c r="H15" i="1"/>
  <c r="H32" i="1"/>
</calcChain>
</file>

<file path=xl/sharedStrings.xml><?xml version="1.0" encoding="utf-8"?>
<sst xmlns="http://schemas.openxmlformats.org/spreadsheetml/2006/main" count="9" uniqueCount="9">
  <si>
    <r>
      <rPr>
        <sz val="11"/>
        <color theme="1"/>
        <rFont val="宋体"/>
        <family val="3"/>
        <charset val="134"/>
      </rPr>
      <t>电压源</t>
    </r>
    <phoneticPr fontId="1" type="noConversion"/>
  </si>
  <si>
    <t>U1/V</t>
    <phoneticPr fontId="1" type="noConversion"/>
  </si>
  <si>
    <t>I1/A</t>
    <phoneticPr fontId="1" type="noConversion"/>
  </si>
  <si>
    <t>U2/V</t>
    <phoneticPr fontId="1" type="noConversion"/>
  </si>
  <si>
    <t>I2/A</t>
    <phoneticPr fontId="1" type="noConversion"/>
  </si>
  <si>
    <t>平均值</t>
    <phoneticPr fontId="1" type="noConversion"/>
  </si>
  <si>
    <r>
      <rPr>
        <sz val="11"/>
        <color theme="1"/>
        <rFont val="等线"/>
        <family val="1"/>
        <charset val="134"/>
      </rPr>
      <t>旋转前角度/</t>
    </r>
    <r>
      <rPr>
        <sz val="11"/>
        <color theme="1"/>
        <rFont val="Times New Roman"/>
        <family val="1"/>
      </rPr>
      <t>°</t>
    </r>
    <phoneticPr fontId="1" type="noConversion"/>
  </si>
  <si>
    <r>
      <rPr>
        <sz val="11"/>
        <color theme="1"/>
        <rFont val="等线"/>
        <family val="2"/>
      </rPr>
      <t>旋转角度</t>
    </r>
    <r>
      <rPr>
        <sz val="11"/>
        <color theme="1"/>
        <rFont val="Times New Roman"/>
        <family val="1"/>
      </rPr>
      <t>/°</t>
    </r>
    <phoneticPr fontId="1" type="noConversion"/>
  </si>
  <si>
    <r>
      <rPr>
        <sz val="11"/>
        <color theme="1"/>
        <rFont val="等线"/>
        <family val="1"/>
        <charset val="134"/>
      </rPr>
      <t>旋转后角度/</t>
    </r>
    <r>
      <rPr>
        <sz val="11"/>
        <color theme="1"/>
        <rFont val="Times New Roman"/>
        <family val="1"/>
      </rPr>
      <t>°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</si>
</sst>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等线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等线"/>
      <family val="2"/>
    </font>
    <font>
      <sz val="11"/>
      <color theme="1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29" zoomScale="130" zoomScaleNormal="130" workbookViewId="0">
      <selection activeCell="I34" sqref="I34"/>
    </sheetView>
  </sheetViews>
  <sheetFormatPr defaultRowHeight="14" x14ac:dyDescent="0.3"/>
  <cols>
    <col min="1" max="1" width="12" style="3" customWidth="1"/>
    <col min="2" max="2" width="9.75" style="3" bestFit="1" customWidth="1"/>
    <col min="3" max="4" width="8.6640625" style="3"/>
    <col min="5" max="5" width="10.1640625" style="3" bestFit="1" customWidth="1"/>
    <col min="6" max="6" width="10.1640625" style="3" customWidth="1"/>
    <col min="7" max="7" width="12" style="3" customWidth="1"/>
    <col min="8" max="8" width="10" style="3" customWidth="1"/>
    <col min="9" max="16384" width="8.6640625" style="3"/>
  </cols>
  <sheetData>
    <row r="1" spans="1:8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6</v>
      </c>
      <c r="H1" s="8" t="s">
        <v>7</v>
      </c>
    </row>
    <row r="2" spans="1:8" x14ac:dyDescent="0.3">
      <c r="A2" s="4"/>
      <c r="B2" s="4">
        <v>1</v>
      </c>
      <c r="C2" s="4">
        <v>1.404E-4</v>
      </c>
      <c r="D2" s="4">
        <v>0.71409999999999996</v>
      </c>
      <c r="E2" s="4">
        <v>7.1409999999999996E-4</v>
      </c>
      <c r="F2" s="1">
        <f>DEGREES(ATAN2(B2,C2*1000))</f>
        <v>7.9920869066251115</v>
      </c>
      <c r="G2" s="1">
        <f>DEGREES(ATAN2(D2,E2*1000))</f>
        <v>45</v>
      </c>
      <c r="H2" s="5">
        <f>F2-G2</f>
        <v>-37.007913093374889</v>
      </c>
    </row>
    <row r="3" spans="1:8" x14ac:dyDescent="0.3">
      <c r="A3" s="4"/>
      <c r="B3" s="4">
        <v>2</v>
      </c>
      <c r="C3" s="4">
        <v>2.81E-4</v>
      </c>
      <c r="D3" s="4">
        <v>1.4279999999999999</v>
      </c>
      <c r="E3" s="4">
        <v>1.428E-3</v>
      </c>
      <c r="F3" s="1">
        <f>DEGREES(ATAN2(B3,C3*1000))</f>
        <v>7.9977056481391973</v>
      </c>
      <c r="G3" s="1">
        <f>DEGREES(ATAN2(D3,E3*1000))</f>
        <v>45</v>
      </c>
      <c r="H3" s="5">
        <f t="shared" ref="H3:H31" si="0">F3-G3</f>
        <v>-37.002294351860805</v>
      </c>
    </row>
    <row r="4" spans="1:8" x14ac:dyDescent="0.3">
      <c r="A4" s="4"/>
      <c r="B4" s="4">
        <v>3</v>
      </c>
      <c r="C4" s="4">
        <v>4.215E-4</v>
      </c>
      <c r="D4" s="4">
        <v>2.1419999999999999</v>
      </c>
      <c r="E4" s="4">
        <v>2.1419999999999998E-3</v>
      </c>
      <c r="F4" s="1">
        <f>DEGREES(ATAN2(B4,C4*1000))</f>
        <v>7.9977056481391964</v>
      </c>
      <c r="G4" s="1">
        <f>DEGREES(ATAN2(D4,E4*1000))</f>
        <v>45</v>
      </c>
      <c r="H4" s="5">
        <f t="shared" si="0"/>
        <v>-37.002294351860805</v>
      </c>
    </row>
    <row r="5" spans="1:8" x14ac:dyDescent="0.3">
      <c r="A5" s="4"/>
      <c r="B5" s="4">
        <v>4</v>
      </c>
      <c r="C5" s="4">
        <v>5.6209999999999995E-4</v>
      </c>
      <c r="D5" s="4">
        <v>2.8559999999999999</v>
      </c>
      <c r="E5" s="4">
        <v>2.856E-3</v>
      </c>
      <c r="F5" s="1">
        <f>DEGREES(ATAN2(B5,C5*1000))</f>
        <v>7.9991103093297964</v>
      </c>
      <c r="G5" s="1">
        <f>DEGREES(ATAN2(D5,E5*1000))</f>
        <v>45</v>
      </c>
      <c r="H5" s="5">
        <f t="shared" si="0"/>
        <v>-37.000889690670206</v>
      </c>
    </row>
    <row r="6" spans="1:8" x14ac:dyDescent="0.3">
      <c r="A6" s="4"/>
      <c r="B6" s="4">
        <v>5</v>
      </c>
      <c r="C6" s="4">
        <v>7.0259999999999995E-4</v>
      </c>
      <c r="D6" s="4">
        <v>3.57</v>
      </c>
      <c r="E6" s="4">
        <v>3.5699999999999998E-3</v>
      </c>
      <c r="F6" s="1">
        <f>DEGREES(ATAN2(B6,C6*1000))</f>
        <v>7.9988293778658957</v>
      </c>
      <c r="G6" s="1">
        <f>DEGREES(ATAN2(D6,E6*1000))</f>
        <v>45</v>
      </c>
      <c r="H6" s="5">
        <f t="shared" si="0"/>
        <v>-37.001170622134104</v>
      </c>
    </row>
    <row r="7" spans="1:8" x14ac:dyDescent="0.3">
      <c r="A7" s="4"/>
      <c r="B7" s="4">
        <v>6</v>
      </c>
      <c r="C7" s="4">
        <v>8.432E-4</v>
      </c>
      <c r="D7" s="4">
        <v>4.2839999999999998</v>
      </c>
      <c r="E7" s="4">
        <v>4.2839999999999996E-3</v>
      </c>
      <c r="F7" s="1">
        <f>DEGREES(ATAN2(B7,C7*1000))</f>
        <v>7.9995785275759976</v>
      </c>
      <c r="G7" s="1">
        <f>DEGREES(ATAN2(D7,E7*1000))</f>
        <v>45</v>
      </c>
      <c r="H7" s="5">
        <f t="shared" si="0"/>
        <v>-37.000421472424001</v>
      </c>
    </row>
    <row r="8" spans="1:8" x14ac:dyDescent="0.3">
      <c r="A8" s="4"/>
      <c r="B8" s="4">
        <v>7</v>
      </c>
      <c r="C8" s="4">
        <v>9.836999999999999E-4</v>
      </c>
      <c r="D8" s="4">
        <v>4.9980000000000002</v>
      </c>
      <c r="E8" s="4">
        <v>4.9979999999999998E-3</v>
      </c>
      <c r="F8" s="1">
        <f>DEGREES(ATAN2(B8,C8*1000))</f>
        <v>7.9993109744241355</v>
      </c>
      <c r="G8" s="1">
        <f>DEGREES(ATAN2(D8,E8*1000))</f>
        <v>45</v>
      </c>
      <c r="H8" s="5">
        <f t="shared" si="0"/>
        <v>-37.000689025575866</v>
      </c>
    </row>
    <row r="9" spans="1:8" x14ac:dyDescent="0.3">
      <c r="A9" s="4"/>
      <c r="B9" s="4">
        <v>8</v>
      </c>
      <c r="C9" s="4">
        <v>1.124E-3</v>
      </c>
      <c r="D9" s="4">
        <v>5.7119999999999997</v>
      </c>
      <c r="E9" s="4">
        <v>5.7120000000000001E-3</v>
      </c>
      <c r="F9" s="1">
        <f>DEGREES(ATAN2(B9,C9*1000))</f>
        <v>7.9977056481391973</v>
      </c>
      <c r="G9" s="1">
        <f>DEGREES(ATAN2(D9,E9*1000))</f>
        <v>45</v>
      </c>
      <c r="H9" s="5">
        <f t="shared" si="0"/>
        <v>-37.002294351860805</v>
      </c>
    </row>
    <row r="10" spans="1:8" x14ac:dyDescent="0.3">
      <c r="A10" s="4"/>
      <c r="B10" s="4">
        <v>9</v>
      </c>
      <c r="C10" s="4">
        <v>1.2650000000000001E-3</v>
      </c>
      <c r="D10" s="4">
        <v>6.4260000000000002</v>
      </c>
      <c r="E10" s="4">
        <v>6.4260000000000003E-3</v>
      </c>
      <c r="F10" s="1">
        <f>DEGREES(ATAN2(B10,C10*1000))</f>
        <v>8.0008271043080494</v>
      </c>
      <c r="G10" s="1">
        <f>DEGREES(ATAN2(D10,E10*1000))</f>
        <v>45</v>
      </c>
      <c r="H10" s="5">
        <f t="shared" si="0"/>
        <v>-36.999172895691949</v>
      </c>
    </row>
    <row r="11" spans="1:8" x14ac:dyDescent="0.3">
      <c r="A11" s="4"/>
      <c r="B11" s="4">
        <v>10</v>
      </c>
      <c r="C11" s="4">
        <v>1.405E-3</v>
      </c>
      <c r="D11" s="4">
        <v>7.141</v>
      </c>
      <c r="E11" s="4">
        <v>7.1409999999999998E-3</v>
      </c>
      <c r="F11" s="1">
        <f>DEGREES(ATAN2(B11,C11*1000))</f>
        <v>7.9977056481391973</v>
      </c>
      <c r="G11" s="1">
        <f>DEGREES(ATAN2(D11,E11*1000))</f>
        <v>45</v>
      </c>
      <c r="H11" s="5">
        <f t="shared" si="0"/>
        <v>-37.002294351860805</v>
      </c>
    </row>
    <row r="12" spans="1:8" x14ac:dyDescent="0.3">
      <c r="A12" s="4"/>
      <c r="B12" s="4">
        <v>11</v>
      </c>
      <c r="C12" s="4">
        <v>1.5460000000000001E-3</v>
      </c>
      <c r="D12" s="4">
        <v>7.8550000000000004</v>
      </c>
      <c r="E12" s="4">
        <v>7.8549999999999991E-3</v>
      </c>
      <c r="F12" s="1">
        <f>DEGREES(ATAN2(B12,C12*1000))</f>
        <v>8.0002595703779544</v>
      </c>
      <c r="G12" s="1">
        <f>DEGREES(ATAN2(D12,E12*1000))</f>
        <v>45</v>
      </c>
      <c r="H12" s="5">
        <f t="shared" si="0"/>
        <v>-36.999740429622044</v>
      </c>
    </row>
    <row r="13" spans="1:8" x14ac:dyDescent="0.3">
      <c r="A13" s="4"/>
      <c r="B13" s="4">
        <v>12</v>
      </c>
      <c r="C13" s="4">
        <v>1.686E-3</v>
      </c>
      <c r="D13" s="4">
        <v>8.5690000000000008</v>
      </c>
      <c r="E13" s="4">
        <v>8.5690000000000002E-3</v>
      </c>
      <c r="F13" s="1">
        <f>DEGREES(ATAN2(B13,C13*1000))</f>
        <v>7.9977056481391964</v>
      </c>
      <c r="G13" s="1">
        <f>DEGREES(ATAN2(D13,E13*1000))</f>
        <v>45</v>
      </c>
      <c r="H13" s="5">
        <f t="shared" si="0"/>
        <v>-37.002294351860805</v>
      </c>
    </row>
    <row r="14" spans="1:8" x14ac:dyDescent="0.3">
      <c r="A14" s="4"/>
      <c r="B14" s="4">
        <v>13</v>
      </c>
      <c r="C14" s="4">
        <v>1.8270000000000001E-3</v>
      </c>
      <c r="D14" s="4">
        <v>9.2829999999999995</v>
      </c>
      <c r="E14" s="4">
        <v>9.2829999999999996E-3</v>
      </c>
      <c r="F14" s="1">
        <f>DEGREES(ATAN2(B14,C14*1000))</f>
        <v>7.9998666613468234</v>
      </c>
      <c r="G14" s="1">
        <f>DEGREES(ATAN2(D14,E14*1000))</f>
        <v>45</v>
      </c>
      <c r="H14" s="5">
        <f t="shared" si="0"/>
        <v>-37.000133338653178</v>
      </c>
    </row>
    <row r="15" spans="1:8" x14ac:dyDescent="0.3">
      <c r="A15" s="4"/>
      <c r="B15" s="4">
        <v>14</v>
      </c>
      <c r="C15" s="4">
        <v>1.9680000000000001E-3</v>
      </c>
      <c r="D15" s="4">
        <v>9.9969999999999999</v>
      </c>
      <c r="E15" s="4">
        <v>9.9970000000000007E-3</v>
      </c>
      <c r="F15" s="1">
        <f>DEGREES(ATAN2(B15,C15*1000))</f>
        <v>8.0017189401481783</v>
      </c>
      <c r="G15" s="1">
        <f>DEGREES(ATAN2(D15,E15*1000))</f>
        <v>45</v>
      </c>
      <c r="H15" s="5">
        <f t="shared" si="0"/>
        <v>-36.99828105985182</v>
      </c>
    </row>
    <row r="16" spans="1:8" x14ac:dyDescent="0.3">
      <c r="A16" s="4"/>
      <c r="B16" s="4">
        <v>15</v>
      </c>
      <c r="C16" s="4">
        <v>2.1080000000000001E-3</v>
      </c>
      <c r="D16" s="4">
        <v>10.71</v>
      </c>
      <c r="E16" s="4">
        <v>1.0710000000000001E-2</v>
      </c>
      <c r="F16" s="1">
        <f>DEGREES(ATAN2(B16,C16*1000))</f>
        <v>7.9995785275759994</v>
      </c>
      <c r="G16" s="1">
        <f>DEGREES(ATAN2(D16,E16*1000))</f>
        <v>45</v>
      </c>
      <c r="H16" s="5">
        <f t="shared" si="0"/>
        <v>-37.000421472424001</v>
      </c>
    </row>
    <row r="17" spans="1:8" x14ac:dyDescent="0.3">
      <c r="A17" s="4"/>
      <c r="B17" s="4">
        <v>16</v>
      </c>
      <c r="C17" s="4">
        <v>2.2490000000000001E-3</v>
      </c>
      <c r="D17" s="4">
        <v>11.42</v>
      </c>
      <c r="E17" s="4">
        <v>1.142E-2</v>
      </c>
      <c r="F17" s="1">
        <f>DEGREES(ATAN2(B17,C17*1000))</f>
        <v>8.0012172829683035</v>
      </c>
      <c r="G17" s="1">
        <f>DEGREES(ATAN2(D17,E17*1000))</f>
        <v>45</v>
      </c>
      <c r="H17" s="5">
        <f t="shared" si="0"/>
        <v>-36.998782717031695</v>
      </c>
    </row>
    <row r="18" spans="1:8" x14ac:dyDescent="0.3">
      <c r="A18" s="4"/>
      <c r="B18" s="4">
        <v>17</v>
      </c>
      <c r="C18" s="4">
        <v>2.3890000000000001E-3</v>
      </c>
      <c r="D18" s="4">
        <v>12.14</v>
      </c>
      <c r="E18" s="4">
        <v>1.214E-2</v>
      </c>
      <c r="F18" s="1">
        <f>DEGREES(ATAN2(B18,C18*1000))</f>
        <v>7.9993581897117467</v>
      </c>
      <c r="G18" s="1">
        <f>DEGREES(ATAN2(D18,E18*1000))</f>
        <v>45</v>
      </c>
      <c r="H18" s="5">
        <f t="shared" si="0"/>
        <v>-37.000641810288251</v>
      </c>
    </row>
    <row r="19" spans="1:8" x14ac:dyDescent="0.3">
      <c r="A19" s="4"/>
      <c r="B19" s="4">
        <v>18</v>
      </c>
      <c r="C19" s="4">
        <v>2.5300000000000001E-3</v>
      </c>
      <c r="D19" s="4">
        <v>12.85</v>
      </c>
      <c r="E19" s="4">
        <v>1.285E-2</v>
      </c>
      <c r="F19" s="1">
        <f>DEGREES(ATAN2(B19,C19*1000))</f>
        <v>8.0008271043080494</v>
      </c>
      <c r="G19" s="1">
        <f>DEGREES(ATAN2(D19,E19*1000))</f>
        <v>45</v>
      </c>
      <c r="H19" s="5">
        <f t="shared" si="0"/>
        <v>-36.999172895691949</v>
      </c>
    </row>
    <row r="20" spans="1:8" x14ac:dyDescent="0.3">
      <c r="A20" s="4"/>
      <c r="B20" s="4">
        <v>19</v>
      </c>
      <c r="C20" s="4">
        <v>2.6700000000000001E-3</v>
      </c>
      <c r="D20" s="4">
        <v>13.57</v>
      </c>
      <c r="E20" s="4">
        <v>1.357E-2</v>
      </c>
      <c r="F20" s="1">
        <f>DEGREES(ATAN2(B20,C20*1000))</f>
        <v>7.9991842385980609</v>
      </c>
      <c r="G20" s="1">
        <f>DEGREES(ATAN2(D20,E20*1000))</f>
        <v>45</v>
      </c>
      <c r="H20" s="5">
        <f t="shared" si="0"/>
        <v>-37.000815761401938</v>
      </c>
    </row>
    <row r="21" spans="1:8" x14ac:dyDescent="0.3">
      <c r="A21" s="4"/>
      <c r="B21" s="4">
        <v>20</v>
      </c>
      <c r="C21" s="4">
        <v>2.8110000000000001E-3</v>
      </c>
      <c r="D21" s="4">
        <v>14.28</v>
      </c>
      <c r="E21" s="4">
        <v>1.4279999999999999E-2</v>
      </c>
      <c r="F21" s="1">
        <f>DEGREES(ATAN2(B21,C21*1000))</f>
        <v>8.000514960842052</v>
      </c>
      <c r="G21" s="1">
        <f>DEGREES(ATAN2(D21,E21*1000))</f>
        <v>45</v>
      </c>
      <c r="H21" s="5">
        <f t="shared" si="0"/>
        <v>-36.999485039157946</v>
      </c>
    </row>
    <row r="22" spans="1:8" x14ac:dyDescent="0.3">
      <c r="A22" s="4"/>
      <c r="B22" s="4">
        <v>21</v>
      </c>
      <c r="C22" s="4">
        <v>2.9510000000000001E-3</v>
      </c>
      <c r="D22" s="4">
        <v>15</v>
      </c>
      <c r="E22" s="4">
        <v>1.4999999999999999E-2</v>
      </c>
      <c r="F22" s="1">
        <f>DEGREES(ATAN2(B22,C22*1000))</f>
        <v>7.9990434209211241</v>
      </c>
      <c r="G22" s="1">
        <f>DEGREES(ATAN2(D22,E22*1000))</f>
        <v>45</v>
      </c>
      <c r="H22" s="5">
        <f t="shared" si="0"/>
        <v>-37.000956579078874</v>
      </c>
    </row>
    <row r="23" spans="1:8" x14ac:dyDescent="0.3">
      <c r="A23" s="4"/>
      <c r="B23" s="4">
        <v>22</v>
      </c>
      <c r="C23" s="4">
        <v>3.0920000000000001E-3</v>
      </c>
      <c r="D23" s="4">
        <v>15.71</v>
      </c>
      <c r="E23" s="4">
        <v>1.5709999999999998E-2</v>
      </c>
      <c r="F23" s="1">
        <f>DEGREES(ATAN2(B23,C23*1000))</f>
        <v>8.0002595703779544</v>
      </c>
      <c r="G23" s="1">
        <f>DEGREES(ATAN2(D23,E23*1000))</f>
        <v>45</v>
      </c>
      <c r="H23" s="5">
        <f t="shared" si="0"/>
        <v>-36.999740429622044</v>
      </c>
    </row>
    <row r="24" spans="1:8" x14ac:dyDescent="0.3">
      <c r="A24" s="4"/>
      <c r="B24" s="4">
        <v>23</v>
      </c>
      <c r="C24" s="4">
        <v>3.2320000000000001E-3</v>
      </c>
      <c r="D24" s="4">
        <v>16.420000000000002</v>
      </c>
      <c r="E24" s="4">
        <v>1.6420000000000001E-2</v>
      </c>
      <c r="F24" s="1">
        <f>DEGREES(ATAN2(B24,C24*1000))</f>
        <v>7.9989270932015941</v>
      </c>
      <c r="G24" s="1">
        <f>DEGREES(ATAN2(D24,E24*1000))</f>
        <v>45</v>
      </c>
      <c r="H24" s="5">
        <f t="shared" si="0"/>
        <v>-37.001072906798406</v>
      </c>
    </row>
    <row r="25" spans="1:8" x14ac:dyDescent="0.3">
      <c r="A25" s="4"/>
      <c r="B25" s="4">
        <v>24</v>
      </c>
      <c r="C25" s="4">
        <v>3.3730000000000001E-3</v>
      </c>
      <c r="D25" s="4">
        <v>17.14</v>
      </c>
      <c r="E25" s="4">
        <v>1.7139999999999999E-2</v>
      </c>
      <c r="F25" s="1">
        <f>DEGREES(ATAN2(B25,C25*1000))</f>
        <v>8.0000467447467702</v>
      </c>
      <c r="G25" s="1">
        <f>DEGREES(ATAN2(D25,E25*1000))</f>
        <v>45</v>
      </c>
      <c r="H25" s="5">
        <f t="shared" si="0"/>
        <v>-36.999953255253232</v>
      </c>
    </row>
    <row r="26" spans="1:8" x14ac:dyDescent="0.3">
      <c r="A26" s="4"/>
      <c r="B26" s="4">
        <v>25</v>
      </c>
      <c r="C26" s="4">
        <v>3.5140000000000002E-3</v>
      </c>
      <c r="D26" s="4">
        <v>17.850000000000001</v>
      </c>
      <c r="E26" s="4">
        <v>1.7850000000000001E-2</v>
      </c>
      <c r="F26" s="1">
        <f>DEGREES(ATAN2(B26,C26*1000))</f>
        <v>8.0010768187366619</v>
      </c>
      <c r="G26" s="1">
        <f>DEGREES(ATAN2(D26,E26*1000))</f>
        <v>45</v>
      </c>
      <c r="H26" s="5">
        <f t="shared" si="0"/>
        <v>-36.998923181263336</v>
      </c>
    </row>
    <row r="27" spans="1:8" x14ac:dyDescent="0.3">
      <c r="A27" s="4"/>
      <c r="B27" s="4">
        <v>26</v>
      </c>
      <c r="C27" s="4">
        <v>3.6540000000000001E-3</v>
      </c>
      <c r="D27" s="4">
        <v>18.57</v>
      </c>
      <c r="E27" s="4">
        <v>1.857E-2</v>
      </c>
      <c r="F27" s="1">
        <f>DEGREES(ATAN2(B27,C27*1000))</f>
        <v>7.9998666613468234</v>
      </c>
      <c r="G27" s="1">
        <f>DEGREES(ATAN2(D27,E27*1000))</f>
        <v>45</v>
      </c>
      <c r="H27" s="5">
        <f t="shared" si="0"/>
        <v>-37.000133338653178</v>
      </c>
    </row>
    <row r="28" spans="1:8" x14ac:dyDescent="0.3">
      <c r="A28" s="4"/>
      <c r="B28" s="4">
        <v>27</v>
      </c>
      <c r="C28" s="4">
        <v>3.7950000000000002E-3</v>
      </c>
      <c r="D28" s="4">
        <v>19.28</v>
      </c>
      <c r="E28" s="4">
        <v>1.9279999999999999E-2</v>
      </c>
      <c r="F28" s="1">
        <f>DEGREES(ATAN2(B28,C28*1000))</f>
        <v>8.0008271043080494</v>
      </c>
      <c r="G28" s="1">
        <f>DEGREES(ATAN2(D28,E28*1000))</f>
        <v>44.999999999999993</v>
      </c>
      <c r="H28" s="5">
        <f t="shared" si="0"/>
        <v>-36.999172895691942</v>
      </c>
    </row>
    <row r="29" spans="1:8" x14ac:dyDescent="0.3">
      <c r="A29" s="4"/>
      <c r="B29" s="4">
        <v>28</v>
      </c>
      <c r="C29" s="4">
        <v>3.9350000000000001E-3</v>
      </c>
      <c r="D29" s="4">
        <v>19.989999999999998</v>
      </c>
      <c r="E29" s="4">
        <v>1.9990000000000001E-2</v>
      </c>
      <c r="F29" s="1">
        <f>DEGREES(ATAN2(B29,C29*1000))</f>
        <v>7.9997123040202469</v>
      </c>
      <c r="G29" s="1">
        <f>DEGREES(ATAN2(D29,E29*1000))</f>
        <v>45.000000000000007</v>
      </c>
      <c r="H29" s="5">
        <f t="shared" si="0"/>
        <v>-37.000287695979758</v>
      </c>
    </row>
    <row r="30" spans="1:8" x14ac:dyDescent="0.3">
      <c r="A30" s="4"/>
      <c r="B30" s="4">
        <v>29</v>
      </c>
      <c r="C30" s="4">
        <v>4.0759999999999998E-3</v>
      </c>
      <c r="D30" s="4">
        <v>20.71</v>
      </c>
      <c r="E30" s="4">
        <v>2.0709999999999999E-2</v>
      </c>
      <c r="F30" s="1">
        <f>DEGREES(ATAN2(B30,C30*1000))</f>
        <v>8.0006118330033438</v>
      </c>
      <c r="G30" s="1">
        <f>DEGREES(ATAN2(D30,E30*1000))</f>
        <v>45</v>
      </c>
      <c r="H30" s="5">
        <f t="shared" si="0"/>
        <v>-36.999388166996653</v>
      </c>
    </row>
    <row r="31" spans="1:8" x14ac:dyDescent="0.3">
      <c r="A31" s="4"/>
      <c r="B31" s="4">
        <v>30</v>
      </c>
      <c r="C31" s="4">
        <v>4.2160000000000001E-3</v>
      </c>
      <c r="D31" s="4">
        <v>21.42</v>
      </c>
      <c r="E31" s="4">
        <v>2.1420000000000002E-2</v>
      </c>
      <c r="F31" s="1">
        <f>DEGREES(ATAN2(B31,C31*1000))</f>
        <v>7.9995785275759994</v>
      </c>
      <c r="G31" s="1">
        <f>DEGREES(ATAN2(D31,E31*1000))</f>
        <v>45</v>
      </c>
      <c r="H31" s="5">
        <f t="shared" si="0"/>
        <v>-37.000421472424001</v>
      </c>
    </row>
    <row r="32" spans="1:8" ht="14.5" x14ac:dyDescent="0.3">
      <c r="A32" s="4"/>
      <c r="G32" s="6" t="s">
        <v>5</v>
      </c>
      <c r="H32" s="5">
        <f>AVERAGE(H2:H31)</f>
        <v>-37.000641766835308</v>
      </c>
    </row>
    <row r="33" spans="1:8" x14ac:dyDescent="0.3">
      <c r="A33" s="4"/>
      <c r="H33" s="5"/>
    </row>
    <row r="34" spans="1:8" x14ac:dyDescent="0.3">
      <c r="A34" s="4"/>
      <c r="H34" s="5"/>
    </row>
    <row r="35" spans="1:8" x14ac:dyDescent="0.3">
      <c r="A35" s="4"/>
      <c r="B35" s="4">
        <v>31</v>
      </c>
      <c r="C35" s="4">
        <v>4.3569999999999998E-3</v>
      </c>
      <c r="D35" s="4">
        <v>22.14</v>
      </c>
      <c r="E35" s="4">
        <v>2.214E-2</v>
      </c>
      <c r="F35" s="1">
        <f>DEGREES(ATAN2(B35,C35*1000))</f>
        <v>8.0004243384559341</v>
      </c>
      <c r="G35" s="1">
        <f>DEGREES(ATAN2(D35,E35*1000))</f>
        <v>45</v>
      </c>
    </row>
    <row r="36" spans="1:8" x14ac:dyDescent="0.3">
      <c r="A36" s="4"/>
      <c r="B36" s="4">
        <v>32</v>
      </c>
      <c r="C36" s="4">
        <v>4.4970000000000001E-3</v>
      </c>
      <c r="D36" s="4">
        <v>22.85</v>
      </c>
      <c r="E36" s="4">
        <v>2.2849999999999999E-2</v>
      </c>
      <c r="F36" s="1">
        <f>DEGREES(ATAN2(B36,C36*1000))</f>
        <v>7.999461473115268</v>
      </c>
      <c r="G36" s="1">
        <f>DEGREES(ATAN2(D36,E36*1000))</f>
        <v>45</v>
      </c>
    </row>
    <row r="37" spans="1:8" x14ac:dyDescent="0.3">
      <c r="A37" s="4"/>
      <c r="B37" s="4">
        <v>33</v>
      </c>
      <c r="C37" s="4">
        <v>4.6379999999999998E-3</v>
      </c>
      <c r="D37" s="4">
        <v>23.56</v>
      </c>
      <c r="E37" s="4">
        <v>2.3560000000000001E-2</v>
      </c>
      <c r="F37" s="1">
        <f>DEGREES(ATAN2(B37,C37*1000))</f>
        <v>8.0002595703779527</v>
      </c>
      <c r="G37" s="1">
        <f>DEGREES(ATAN2(D37,E37*1000))</f>
        <v>45.000000000000007</v>
      </c>
    </row>
    <row r="38" spans="1:8" x14ac:dyDescent="0.3">
      <c r="A38" s="4"/>
      <c r="B38" s="4">
        <v>34</v>
      </c>
      <c r="C38" s="4">
        <v>4.7790000000000003E-3</v>
      </c>
      <c r="D38" s="4">
        <v>24.28</v>
      </c>
      <c r="E38" s="4">
        <v>2.4279999999999999E-2</v>
      </c>
      <c r="F38" s="1">
        <f>DEGREES(ATAN2(B38,C38*1000))</f>
        <v>8.0010107178882741</v>
      </c>
      <c r="G38" s="1">
        <f>DEGREES(ATAN2(D38,E38*1000))</f>
        <v>45</v>
      </c>
    </row>
    <row r="39" spans="1:8" x14ac:dyDescent="0.3">
      <c r="A39" s="4"/>
      <c r="B39" s="4">
        <v>35</v>
      </c>
      <c r="C39" s="4">
        <v>4.9189999999999998E-3</v>
      </c>
      <c r="D39" s="4">
        <v>24.99</v>
      </c>
      <c r="E39" s="4">
        <v>2.4989999999999998E-2</v>
      </c>
      <c r="F39" s="1">
        <f>DEGREES(ATAN2(B39,C39*1000))</f>
        <v>8.0001136328262294</v>
      </c>
      <c r="G39" s="1">
        <f>DEGREES(ATAN2(D39,E39*1000))</f>
        <v>45</v>
      </c>
    </row>
    <row r="40" spans="1:8" x14ac:dyDescent="0.3">
      <c r="A40" s="4"/>
      <c r="B40" s="4">
        <v>36</v>
      </c>
      <c r="C40" s="4">
        <v>5.4270000000000004E-3</v>
      </c>
      <c r="D40" s="4">
        <v>25.61</v>
      </c>
      <c r="E40" s="4">
        <v>2.5610000000000001E-2</v>
      </c>
      <c r="F40" s="1">
        <f>DEGREES(ATAN2(B40,C40*1000))</f>
        <v>8.5727872231496018</v>
      </c>
      <c r="G40" s="1">
        <f>DEGREES(ATAN2(D40,E40*1000))</f>
        <v>45</v>
      </c>
    </row>
    <row r="41" spans="1:8" x14ac:dyDescent="0.3">
      <c r="A41" s="4"/>
      <c r="B41" s="4">
        <v>37</v>
      </c>
      <c r="C41" s="4">
        <v>6.1890000000000001E-3</v>
      </c>
      <c r="D41" s="4">
        <v>26.17</v>
      </c>
      <c r="E41" s="4">
        <v>2.6169999999999999E-2</v>
      </c>
      <c r="F41" s="1">
        <f>DEGREES(ATAN2(B41,C41*1000))</f>
        <v>9.4959681487687284</v>
      </c>
      <c r="G41" s="1">
        <f>DEGREES(ATAN2(D41,E41*1000))</f>
        <v>45</v>
      </c>
    </row>
    <row r="42" spans="1:8" x14ac:dyDescent="0.3">
      <c r="A42" s="4"/>
      <c r="B42" s="4">
        <v>38</v>
      </c>
      <c r="C42" s="4">
        <v>6.9509999999999997E-3</v>
      </c>
      <c r="D42" s="4">
        <v>26.73</v>
      </c>
      <c r="E42" s="4">
        <v>2.673E-2</v>
      </c>
      <c r="F42" s="1">
        <f>DEGREES(ATAN2(B42,C42*1000))</f>
        <v>10.366002342841124</v>
      </c>
      <c r="G42" s="1">
        <f>DEGREES(ATAN2(D42,E42*1000))</f>
        <v>45</v>
      </c>
    </row>
    <row r="43" spans="1:8" x14ac:dyDescent="0.3">
      <c r="A43" s="4"/>
      <c r="B43" s="4">
        <v>39</v>
      </c>
      <c r="C43" s="4">
        <v>7.7130000000000002E-3</v>
      </c>
      <c r="D43" s="4">
        <v>27.29</v>
      </c>
      <c r="E43" s="4">
        <v>2.7289999999999998E-2</v>
      </c>
      <c r="F43" s="1">
        <f>DEGREES(ATAN2(B43,C43*1000))</f>
        <v>11.186982165792653</v>
      </c>
      <c r="G43" s="1">
        <f>DEGREES(ATAN2(D43,E43*1000))</f>
        <v>45</v>
      </c>
    </row>
    <row r="44" spans="1:8" x14ac:dyDescent="0.3">
      <c r="A44" s="4"/>
      <c r="B44" s="4">
        <v>40</v>
      </c>
      <c r="C44" s="4">
        <v>8.4749999999999999E-3</v>
      </c>
      <c r="D44" s="4">
        <v>27.85</v>
      </c>
      <c r="E44" s="4">
        <v>2.785E-2</v>
      </c>
      <c r="F44" s="1">
        <f>DEGREES(ATAN2(B44,C44*1000))</f>
        <v>11.962632269844773</v>
      </c>
      <c r="G44" s="1">
        <f>DEGREES(ATAN2(D44,E44*1000))</f>
        <v>45</v>
      </c>
    </row>
    <row r="45" spans="1:8" x14ac:dyDescent="0.3">
      <c r="A45" s="4"/>
      <c r="B45" s="4">
        <v>41</v>
      </c>
      <c r="C45" s="4">
        <v>9.2359999999999994E-3</v>
      </c>
      <c r="D45" s="4">
        <v>28.41</v>
      </c>
      <c r="E45" s="4">
        <v>2.8410000000000001E-2</v>
      </c>
      <c r="F45" s="1">
        <f>DEGREES(ATAN2(B45,C45*1000))</f>
        <v>12.695013978330262</v>
      </c>
      <c r="G45" s="1">
        <f>DEGREES(ATAN2(D45,E45*1000))</f>
        <v>45</v>
      </c>
    </row>
    <row r="46" spans="1:8" x14ac:dyDescent="0.3">
      <c r="A46" s="4"/>
      <c r="B46" s="4">
        <v>42</v>
      </c>
      <c r="C46" s="4">
        <v>9.9979999999999999E-3</v>
      </c>
      <c r="D46" s="4">
        <v>28.96</v>
      </c>
      <c r="E46" s="4">
        <v>2.896E-2</v>
      </c>
      <c r="F46" s="1">
        <f>DEGREES(ATAN2(B46,C46*1000))</f>
        <v>13.389915727401116</v>
      </c>
      <c r="G46" s="1">
        <f>DEGREES(ATAN2(D46,E46*1000))</f>
        <v>45</v>
      </c>
    </row>
    <row r="47" spans="1:8" x14ac:dyDescent="0.3">
      <c r="A47" s="4"/>
      <c r="B47" s="4">
        <v>43</v>
      </c>
      <c r="C47" s="4">
        <v>1.076E-2</v>
      </c>
      <c r="D47" s="4">
        <v>29.52</v>
      </c>
      <c r="E47" s="4">
        <v>2.9520000000000001E-2</v>
      </c>
      <c r="F47" s="1">
        <f>DEGREES(ATAN2(B47,C47*1000))</f>
        <v>14.048783581430136</v>
      </c>
      <c r="G47" s="1">
        <f>DEGREES(ATAN2(D47,E47*1000))</f>
        <v>45</v>
      </c>
    </row>
    <row r="48" spans="1:8" x14ac:dyDescent="0.3">
      <c r="A48" s="4"/>
      <c r="B48" s="4">
        <v>44</v>
      </c>
      <c r="C48" s="4">
        <v>1.1520000000000001E-2</v>
      </c>
      <c r="D48" s="4">
        <v>30.08</v>
      </c>
      <c r="E48" s="4">
        <v>3.0079999999999999E-2</v>
      </c>
      <c r="F48" s="1">
        <f>DEGREES(ATAN2(B48,C48*1000))</f>
        <v>14.671750795901831</v>
      </c>
      <c r="G48" s="1">
        <f>DEGREES(ATAN2(D48,E48*1000))</f>
        <v>45</v>
      </c>
    </row>
    <row r="49" spans="1:7" x14ac:dyDescent="0.3">
      <c r="A49" s="4"/>
      <c r="B49" s="4">
        <v>45</v>
      </c>
      <c r="C49" s="4">
        <v>1.2279999999999999E-2</v>
      </c>
      <c r="D49" s="4">
        <v>30.64</v>
      </c>
      <c r="E49" s="4">
        <v>3.0640000000000001E-2</v>
      </c>
      <c r="F49" s="1">
        <f>DEGREES(ATAN2(B49,C49*1000))</f>
        <v>15.263737201716161</v>
      </c>
      <c r="G49" s="1">
        <f>DEGREES(ATAN2(D49,E49*1000))</f>
        <v>45</v>
      </c>
    </row>
    <row r="50" spans="1:7" x14ac:dyDescent="0.3">
      <c r="A50" s="4"/>
      <c r="B50" s="4">
        <v>46</v>
      </c>
      <c r="C50" s="4">
        <v>1.3050000000000001E-2</v>
      </c>
      <c r="D50" s="4">
        <v>31.2</v>
      </c>
      <c r="E50" s="4">
        <v>3.1199999999999999E-2</v>
      </c>
      <c r="F50" s="1">
        <f>DEGREES(ATAN2(B50,C50*1000))</f>
        <v>15.838408789750796</v>
      </c>
      <c r="G50" s="1">
        <f>DEGREES(ATAN2(D50,E50*1000))</f>
        <v>45</v>
      </c>
    </row>
    <row r="51" spans="1:7" x14ac:dyDescent="0.3">
      <c r="A51" s="4"/>
      <c r="B51" s="4">
        <v>47</v>
      </c>
      <c r="C51" s="4">
        <v>1.3809999999999999E-2</v>
      </c>
      <c r="D51" s="4">
        <v>31.76</v>
      </c>
      <c r="E51" s="4">
        <v>3.1759999999999997E-2</v>
      </c>
      <c r="F51" s="1">
        <f>DEGREES(ATAN2(B51,C51*1000))</f>
        <v>16.374359147490662</v>
      </c>
      <c r="G51" s="1">
        <f>DEGREES(ATAN2(D51,E51*1000))</f>
        <v>45</v>
      </c>
    </row>
    <row r="52" spans="1:7" x14ac:dyDescent="0.3">
      <c r="A52" s="4"/>
      <c r="B52" s="4">
        <v>48</v>
      </c>
      <c r="C52" s="4">
        <v>1.457E-2</v>
      </c>
      <c r="D52" s="4">
        <v>32.31</v>
      </c>
      <c r="E52" s="4">
        <v>3.2309999999999998E-2</v>
      </c>
      <c r="F52" s="1">
        <f>DEGREES(ATAN2(B52,C52*1000))</f>
        <v>16.88522976618491</v>
      </c>
      <c r="G52" s="1">
        <f>DEGREES(ATAN2(D52,E52*1000))</f>
        <v>44.999999999999993</v>
      </c>
    </row>
    <row r="53" spans="1:7" x14ac:dyDescent="0.3">
      <c r="A53" s="4"/>
      <c r="B53" s="4">
        <v>49</v>
      </c>
      <c r="C53" s="4">
        <v>1.533E-2</v>
      </c>
      <c r="D53" s="4">
        <v>32.869999999999997</v>
      </c>
      <c r="E53" s="4">
        <v>3.2870000000000003E-2</v>
      </c>
      <c r="F53" s="1">
        <f>DEGREES(ATAN2(B53,C53*1000))</f>
        <v>17.3726649868076</v>
      </c>
      <c r="G53" s="1">
        <f>DEGREES(ATAN2(D53,E53*1000))</f>
        <v>45.000000000000007</v>
      </c>
    </row>
    <row r="54" spans="1:7" x14ac:dyDescent="0.3">
      <c r="A54" s="4"/>
      <c r="B54" s="4">
        <v>50</v>
      </c>
      <c r="C54" s="4">
        <v>1.609E-2</v>
      </c>
      <c r="D54" s="4">
        <v>33.43</v>
      </c>
      <c r="E54" s="4">
        <v>3.3430000000000001E-2</v>
      </c>
      <c r="F54" s="1">
        <f>DEGREES(ATAN2(B54,C54*1000))</f>
        <v>17.83817530198889</v>
      </c>
      <c r="G54" s="1">
        <f>DEGREES(ATAN2(D54,E54*1000))</f>
        <v>45</v>
      </c>
    </row>
    <row r="55" spans="1:7" x14ac:dyDescent="0.3">
      <c r="A55" s="4"/>
      <c r="B55" s="4">
        <v>51</v>
      </c>
      <c r="C55" s="4">
        <v>1.685E-2</v>
      </c>
      <c r="D55" s="4">
        <v>33.99</v>
      </c>
      <c r="E55" s="4">
        <v>3.3989999999999999E-2</v>
      </c>
      <c r="F55" s="1">
        <f>DEGREES(ATAN2(B55,C55*1000))</f>
        <v>18.283149938879127</v>
      </c>
      <c r="G55" s="1">
        <f>DEGREES(ATAN2(D55,E55*1000))</f>
        <v>45</v>
      </c>
    </row>
    <row r="56" spans="1:7" x14ac:dyDescent="0.3">
      <c r="A56" s="4"/>
      <c r="B56" s="4">
        <v>52</v>
      </c>
      <c r="C56" s="4">
        <v>1.762E-2</v>
      </c>
      <c r="D56" s="4">
        <v>34.549999999999997</v>
      </c>
      <c r="E56" s="4">
        <v>3.4549999999999997E-2</v>
      </c>
      <c r="F56" s="1">
        <f>DEGREES(ATAN2(B56,C56*1000))</f>
        <v>18.71875234437368</v>
      </c>
      <c r="G56" s="1">
        <f>DEGREES(ATAN2(D56,E56*1000))</f>
        <v>45</v>
      </c>
    </row>
    <row r="57" spans="1:7" x14ac:dyDescent="0.3">
      <c r="A57" s="4"/>
      <c r="B57" s="4">
        <v>53</v>
      </c>
      <c r="C57" s="4">
        <v>1.8380000000000001E-2</v>
      </c>
      <c r="D57" s="4">
        <v>35.1</v>
      </c>
      <c r="E57" s="4">
        <v>3.5099999999999999E-2</v>
      </c>
      <c r="F57" s="1">
        <f>DEGREES(ATAN2(B57,C57*1000))</f>
        <v>19.126159894194316</v>
      </c>
      <c r="G57" s="1">
        <f>DEGREES(ATAN2(D57,E57*1000))</f>
        <v>45</v>
      </c>
    </row>
    <row r="58" spans="1:7" x14ac:dyDescent="0.3">
      <c r="A58" s="4"/>
      <c r="B58" s="4">
        <v>54</v>
      </c>
      <c r="C58" s="4">
        <v>1.9140000000000001E-2</v>
      </c>
      <c r="D58" s="4">
        <v>35.659999999999997</v>
      </c>
      <c r="E58" s="4">
        <v>3.5659999999999997E-2</v>
      </c>
      <c r="F58" s="1">
        <f>DEGREES(ATAN2(B58,C58*1000))</f>
        <v>19.516588920462222</v>
      </c>
      <c r="G58" s="1">
        <f>DEGREES(ATAN2(D58,E58*1000))</f>
        <v>45</v>
      </c>
    </row>
    <row r="59" spans="1:7" x14ac:dyDescent="0.3">
      <c r="A59" s="4"/>
      <c r="B59" s="4">
        <v>55</v>
      </c>
      <c r="C59" s="4">
        <v>1.9900000000000001E-2</v>
      </c>
      <c r="D59" s="4">
        <v>36.22</v>
      </c>
      <c r="E59" s="4">
        <v>3.6220000000000002E-2</v>
      </c>
      <c r="F59" s="1">
        <f>DEGREES(ATAN2(B59,C59*1000))</f>
        <v>19.891045021423459</v>
      </c>
      <c r="G59" s="1">
        <f>DEGREES(ATAN2(D59,E59*1000))</f>
        <v>45</v>
      </c>
    </row>
    <row r="60" spans="1:7" x14ac:dyDescent="0.3">
      <c r="A60" s="4"/>
      <c r="B60" s="4">
        <v>56</v>
      </c>
      <c r="C60" s="4">
        <v>2.0660000000000001E-2</v>
      </c>
      <c r="D60" s="4">
        <v>36.78</v>
      </c>
      <c r="E60" s="4">
        <v>3.678E-2</v>
      </c>
      <c r="F60" s="1">
        <f>DEGREES(ATAN2(B60,C60*1000))</f>
        <v>20.250458642564812</v>
      </c>
      <c r="G60" s="1">
        <f>DEGREES(ATAN2(D60,E60*1000))</f>
        <v>45</v>
      </c>
    </row>
    <row r="61" spans="1:7" x14ac:dyDescent="0.3">
      <c r="A61" s="4"/>
      <c r="B61" s="4">
        <v>57</v>
      </c>
      <c r="C61" s="4">
        <v>2.1430000000000001E-2</v>
      </c>
      <c r="D61" s="4">
        <v>37.340000000000003</v>
      </c>
      <c r="E61" s="4">
        <v>3.7339999999999998E-2</v>
      </c>
      <c r="F61" s="1">
        <f>DEGREES(ATAN2(B61,C61*1000))</f>
        <v>20.604499229800538</v>
      </c>
      <c r="G61" s="1">
        <f>DEGREES(ATAN2(D61,E61*1000))</f>
        <v>44.999999999999993</v>
      </c>
    </row>
    <row r="62" spans="1:7" x14ac:dyDescent="0.3">
      <c r="A62" s="4"/>
      <c r="B62" s="4">
        <v>58</v>
      </c>
      <c r="C62" s="4">
        <v>2.2190000000000001E-2</v>
      </c>
      <c r="D62" s="4">
        <v>37.9</v>
      </c>
      <c r="E62" s="4">
        <v>3.7900000000000003E-2</v>
      </c>
      <c r="F62" s="1">
        <f>DEGREES(ATAN2(B62,C62*1000))</f>
        <v>20.936161292808201</v>
      </c>
      <c r="G62" s="1">
        <f>DEGREES(ATAN2(D62,E62*1000))</f>
        <v>45.000000000000007</v>
      </c>
    </row>
    <row r="63" spans="1:7" x14ac:dyDescent="0.3">
      <c r="A63" s="4"/>
      <c r="B63" s="4">
        <v>59</v>
      </c>
      <c r="C63" s="4">
        <v>2.2950000000000002E-2</v>
      </c>
      <c r="D63" s="4">
        <v>38.450000000000003</v>
      </c>
      <c r="E63" s="4">
        <v>3.8449999999999998E-2</v>
      </c>
      <c r="F63" s="1">
        <f>DEGREES(ATAN2(B63,C63*1000))</f>
        <v>21.25519170345969</v>
      </c>
      <c r="G63" s="1">
        <f>DEGREES(ATAN2(D63,E63*1000))</f>
        <v>44.999999999999993</v>
      </c>
    </row>
    <row r="64" spans="1:7" x14ac:dyDescent="0.3">
      <c r="A64" s="4"/>
      <c r="B64" s="4">
        <v>60</v>
      </c>
      <c r="C64" s="4">
        <v>2.3709999999999998E-2</v>
      </c>
      <c r="D64" s="4">
        <v>39.01</v>
      </c>
      <c r="E64" s="4">
        <v>3.9010000000000003E-2</v>
      </c>
      <c r="F64" s="1">
        <f>DEGREES(ATAN2(B64,C64*1000))</f>
        <v>21.562279908573224</v>
      </c>
      <c r="G64" s="1">
        <f>DEGREES(ATAN2(D64,E64*1000))</f>
        <v>45.000000000000007</v>
      </c>
    </row>
    <row r="65" spans="1:7" x14ac:dyDescent="0.3">
      <c r="A65" s="4"/>
      <c r="B65" s="4">
        <v>61</v>
      </c>
      <c r="C65" s="4">
        <v>2.4469999999999999E-2</v>
      </c>
      <c r="D65" s="4">
        <v>39.57</v>
      </c>
      <c r="E65" s="4">
        <v>3.9570000000000001E-2</v>
      </c>
      <c r="F65" s="1">
        <f>DEGREES(ATAN2(B65,C65*1000))</f>
        <v>21.858067440505252</v>
      </c>
      <c r="G65" s="1">
        <f>DEGREES(ATAN2(D65,E65*1000))</f>
        <v>45</v>
      </c>
    </row>
    <row r="66" spans="1:7" x14ac:dyDescent="0.3">
      <c r="A66" s="4"/>
      <c r="B66" s="4">
        <v>62</v>
      </c>
      <c r="C66" s="4">
        <v>2.5229999999999999E-2</v>
      </c>
      <c r="D66" s="4">
        <v>40.130000000000003</v>
      </c>
      <c r="E66" s="4">
        <v>4.0129999999999999E-2</v>
      </c>
      <c r="F66" s="1">
        <f>DEGREES(ATAN2(B66,C66*1000))</f>
        <v>22.143151885354424</v>
      </c>
      <c r="G66" s="1">
        <f>DEGREES(ATAN2(D66,E66*1000))</f>
        <v>44.999999999999993</v>
      </c>
    </row>
    <row r="67" spans="1:7" x14ac:dyDescent="0.3">
      <c r="A67" s="4"/>
      <c r="B67" s="4">
        <v>63</v>
      </c>
      <c r="C67" s="4">
        <v>2.5999999999999999E-2</v>
      </c>
      <c r="D67" s="4">
        <v>40.69</v>
      </c>
      <c r="E67" s="4">
        <v>4.0689999999999997E-2</v>
      </c>
      <c r="F67" s="1">
        <f>DEGREES(ATAN2(B67,C67*1000))</f>
        <v>22.425861921351792</v>
      </c>
      <c r="G67" s="1">
        <f>DEGREES(ATAN2(D67,E67*1000))</f>
        <v>45</v>
      </c>
    </row>
    <row r="68" spans="1:7" x14ac:dyDescent="0.3">
      <c r="A68" s="4"/>
      <c r="B68" s="4">
        <v>64</v>
      </c>
      <c r="C68" s="4">
        <v>2.6759999999999999E-2</v>
      </c>
      <c r="D68" s="4">
        <v>41.25</v>
      </c>
      <c r="E68" s="4">
        <v>4.1250000000000002E-2</v>
      </c>
      <c r="F68" s="1">
        <f>DEGREES(ATAN2(B68,C68*1000))</f>
        <v>22.691024007766174</v>
      </c>
      <c r="G68" s="1">
        <f>DEGREES(ATAN2(D68,E68*1000))</f>
        <v>45</v>
      </c>
    </row>
    <row r="69" spans="1:7" x14ac:dyDescent="0.3">
      <c r="A69" s="4"/>
      <c r="B69" s="4">
        <v>65</v>
      </c>
      <c r="C69" s="4">
        <v>2.7519999999999999E-2</v>
      </c>
      <c r="D69" s="4">
        <v>41.8</v>
      </c>
      <c r="E69" s="4">
        <v>4.1799999999999997E-2</v>
      </c>
      <c r="F69" s="1">
        <f>DEGREES(ATAN2(B69,C69*1000))</f>
        <v>22.947051762748625</v>
      </c>
      <c r="G69" s="1">
        <f>DEGREES(ATAN2(D69,E69*1000))</f>
        <v>45</v>
      </c>
    </row>
    <row r="70" spans="1:7" x14ac:dyDescent="0.3">
      <c r="A70" s="4"/>
      <c r="B70" s="4">
        <v>66</v>
      </c>
      <c r="C70" s="4">
        <v>2.828E-2</v>
      </c>
      <c r="D70" s="4">
        <v>42.36</v>
      </c>
      <c r="E70" s="4">
        <v>4.2360000000000002E-2</v>
      </c>
      <c r="F70" s="1">
        <f>DEGREES(ATAN2(B70,C70*1000))</f>
        <v>23.194399468412957</v>
      </c>
      <c r="G70" s="1">
        <f>DEGREES(ATAN2(D70,E70*1000))</f>
        <v>45</v>
      </c>
    </row>
    <row r="71" spans="1:7" x14ac:dyDescent="0.3">
      <c r="A71" s="4"/>
      <c r="B71" s="4">
        <v>67</v>
      </c>
      <c r="C71" s="4">
        <v>2.904E-2</v>
      </c>
      <c r="D71" s="4">
        <v>42.92</v>
      </c>
      <c r="E71" s="4">
        <v>4.292E-2</v>
      </c>
      <c r="F71" s="1">
        <f>DEGREES(ATAN2(B71,C71*1000))</f>
        <v>23.433492414979408</v>
      </c>
      <c r="G71" s="1">
        <f>DEGREES(ATAN2(D71,E71*1000))</f>
        <v>45</v>
      </c>
    </row>
    <row r="72" spans="1:7" x14ac:dyDescent="0.3">
      <c r="A72" s="4"/>
      <c r="B72" s="4">
        <v>68</v>
      </c>
      <c r="C72" s="4">
        <v>2.98E-2</v>
      </c>
      <c r="D72" s="4">
        <v>43.48</v>
      </c>
      <c r="E72" s="4">
        <v>4.3479999999999998E-2</v>
      </c>
      <c r="F72" s="1">
        <f>DEGREES(ATAN2(B72,C72*1000))</f>
        <v>23.664729124914103</v>
      </c>
      <c r="G72" s="1">
        <f>DEGREES(ATAN2(D72,E72*1000))</f>
        <v>45</v>
      </c>
    </row>
    <row r="73" spans="1:7" x14ac:dyDescent="0.3">
      <c r="A73" s="4"/>
      <c r="B73" s="4">
        <v>69</v>
      </c>
      <c r="C73" s="4">
        <v>3.057E-2</v>
      </c>
      <c r="D73" s="4">
        <v>44.04</v>
      </c>
      <c r="E73" s="4">
        <v>4.4040000000000003E-2</v>
      </c>
      <c r="F73" s="1">
        <f>DEGREES(ATAN2(B73,C73*1000))</f>
        <v>23.895425007550816</v>
      </c>
      <c r="G73" s="1">
        <f>DEGREES(ATAN2(D73,E73*1000))</f>
        <v>45.000000000000007</v>
      </c>
    </row>
    <row r="74" spans="1:7" x14ac:dyDescent="0.3">
      <c r="A74" s="4"/>
      <c r="B74" s="4">
        <v>70</v>
      </c>
      <c r="C74" s="4">
        <v>3.1329999999999997E-2</v>
      </c>
      <c r="D74" s="4">
        <v>44.6</v>
      </c>
      <c r="E74" s="4">
        <v>4.4600000000000001E-2</v>
      </c>
      <c r="F74" s="1">
        <f>DEGREES(ATAN2(B74,C74*1000))</f>
        <v>24.111925544114094</v>
      </c>
      <c r="G74" s="1">
        <f>DEGREES(ATAN2(D74,E74*1000))</f>
        <v>45</v>
      </c>
    </row>
    <row r="75" spans="1:7" x14ac:dyDescent="0.3">
      <c r="A75" s="4"/>
      <c r="B75" s="4">
        <v>71</v>
      </c>
      <c r="C75" s="4">
        <v>3.209E-2</v>
      </c>
      <c r="D75" s="4">
        <v>45.15</v>
      </c>
      <c r="E75" s="4">
        <v>4.5150000000000003E-2</v>
      </c>
      <c r="F75" s="1">
        <f>DEGREES(ATAN2(B75,C75*1000))</f>
        <v>24.321628218369582</v>
      </c>
      <c r="G75" s="1">
        <f>DEGREES(ATAN2(D75,E75*1000))</f>
        <v>45.000000000000007</v>
      </c>
    </row>
    <row r="76" spans="1:7" x14ac:dyDescent="0.3">
      <c r="A76" s="4"/>
      <c r="B76" s="4">
        <v>72</v>
      </c>
      <c r="C76" s="4">
        <v>3.2849999999999997E-2</v>
      </c>
      <c r="D76" s="4">
        <v>45.71</v>
      </c>
      <c r="E76" s="4">
        <v>4.5710000000000001E-2</v>
      </c>
      <c r="F76" s="1">
        <f>DEGREES(ATAN2(B76,C76*1000))</f>
        <v>24.524842885990338</v>
      </c>
      <c r="G76" s="1">
        <f>DEGREES(ATAN2(D76,E76*1000))</f>
        <v>45</v>
      </c>
    </row>
    <row r="77" spans="1:7" x14ac:dyDescent="0.3">
      <c r="A77" s="4"/>
      <c r="B77" s="4">
        <v>73</v>
      </c>
      <c r="C77" s="4">
        <v>3.3610000000000001E-2</v>
      </c>
      <c r="D77" s="4">
        <v>46.27</v>
      </c>
      <c r="E77" s="4">
        <v>4.6269999999999999E-2</v>
      </c>
      <c r="F77" s="1">
        <f>DEGREES(ATAN2(B77,C77*1000))</f>
        <v>24.721861175780884</v>
      </c>
      <c r="G77" s="1">
        <f>DEGREES(ATAN2(D77,E77*1000))</f>
        <v>45</v>
      </c>
    </row>
    <row r="78" spans="1:7" x14ac:dyDescent="0.3">
      <c r="A78" s="4"/>
      <c r="B78" s="4">
        <v>74</v>
      </c>
      <c r="C78" s="4">
        <v>3.4380000000000001E-2</v>
      </c>
      <c r="D78" s="4">
        <v>46.83</v>
      </c>
      <c r="E78" s="4">
        <v>4.6829999999999997E-2</v>
      </c>
      <c r="F78" s="1">
        <f>DEGREES(ATAN2(B78,C78*1000))</f>
        <v>24.919326240229069</v>
      </c>
      <c r="G78" s="1">
        <f>DEGREES(ATAN2(D78,E78*1000))</f>
        <v>45</v>
      </c>
    </row>
    <row r="79" spans="1:7" x14ac:dyDescent="0.3">
      <c r="A79" s="4"/>
      <c r="B79" s="4">
        <v>75</v>
      </c>
      <c r="C79" s="4">
        <v>3.5139999999999998E-2</v>
      </c>
      <c r="D79" s="4">
        <v>47.39</v>
      </c>
      <c r="E79" s="4">
        <v>4.7390000000000002E-2</v>
      </c>
      <c r="F79" s="1">
        <f>DEGREES(ATAN2(B79,C79*1000))</f>
        <v>25.104656277612783</v>
      </c>
      <c r="G79" s="1">
        <f>DEGREES(ATAN2(D79,E79*1000))</f>
        <v>45</v>
      </c>
    </row>
    <row r="80" spans="1:7" x14ac:dyDescent="0.3">
      <c r="A80" s="4"/>
      <c r="B80" s="4">
        <v>76</v>
      </c>
      <c r="C80" s="4">
        <v>3.5900000000000001E-2</v>
      </c>
      <c r="D80" s="4">
        <v>47.95</v>
      </c>
      <c r="E80" s="4">
        <v>4.795E-2</v>
      </c>
      <c r="F80" s="1">
        <f>DEGREES(ATAN2(B80,C80*1000))</f>
        <v>25.284571087029526</v>
      </c>
      <c r="G80" s="1">
        <f>DEGREES(ATAN2(D80,E80*1000))</f>
        <v>45</v>
      </c>
    </row>
    <row r="81" spans="1:7" x14ac:dyDescent="0.3">
      <c r="A81" s="4"/>
      <c r="B81" s="4">
        <v>77</v>
      </c>
      <c r="C81" s="4">
        <v>3.6659999999999998E-2</v>
      </c>
      <c r="D81" s="4">
        <v>48.5</v>
      </c>
      <c r="E81" s="4">
        <v>4.8500000000000001E-2</v>
      </c>
      <c r="F81" s="1">
        <f>DEGREES(ATAN2(B81,C81*1000))</f>
        <v>25.459301197625539</v>
      </c>
      <c r="G81" s="1">
        <f>DEGREES(ATAN2(D81,E81*1000))</f>
        <v>45</v>
      </c>
    </row>
    <row r="82" spans="1:7" x14ac:dyDescent="0.3">
      <c r="A82" s="4"/>
      <c r="B82" s="4">
        <v>78</v>
      </c>
      <c r="C82" s="4">
        <v>3.7420000000000002E-2</v>
      </c>
      <c r="D82" s="4">
        <v>49.06</v>
      </c>
      <c r="E82" s="4">
        <v>4.9059999999999999E-2</v>
      </c>
      <c r="F82" s="1">
        <f>DEGREES(ATAN2(B82,C82*1000))</f>
        <v>25.62906442718738</v>
      </c>
      <c r="G82" s="1">
        <f>DEGREES(ATAN2(D82,E82*1000))</f>
        <v>45</v>
      </c>
    </row>
    <row r="83" spans="1:7" x14ac:dyDescent="0.3">
      <c r="A83" s="4"/>
      <c r="B83" s="4">
        <v>79</v>
      </c>
      <c r="C83" s="4">
        <v>3.8179999999999999E-2</v>
      </c>
      <c r="D83" s="4">
        <v>49.62</v>
      </c>
      <c r="E83" s="4">
        <v>4.9619999999999997E-2</v>
      </c>
      <c r="F83" s="1">
        <f>DEGREES(ATAN2(B83,C83*1000))</f>
        <v>25.794066733126485</v>
      </c>
      <c r="G83" s="1">
        <f>DEGREES(ATAN2(D83,E83*1000))</f>
        <v>45</v>
      </c>
    </row>
    <row r="84" spans="1:7" x14ac:dyDescent="0.3">
      <c r="A84" s="4"/>
      <c r="B84" s="4">
        <v>80</v>
      </c>
      <c r="C84" s="4">
        <v>3.8949999999999999E-2</v>
      </c>
      <c r="D84" s="4">
        <v>50.18</v>
      </c>
      <c r="E84" s="4">
        <v>5.0180000000000002E-2</v>
      </c>
      <c r="F84" s="1">
        <f>DEGREES(ATAN2(B84,C84*1000))</f>
        <v>25.960292852487544</v>
      </c>
      <c r="G84" s="1">
        <f>DEGREES(ATAN2(D84,E84*1000))</f>
        <v>45</v>
      </c>
    </row>
    <row r="85" spans="1:7" x14ac:dyDescent="0.3">
      <c r="A85" s="4"/>
      <c r="B85" s="4">
        <v>81</v>
      </c>
      <c r="C85" s="4">
        <v>3.9710000000000002E-2</v>
      </c>
      <c r="D85" s="4">
        <v>50.74</v>
      </c>
      <c r="E85" s="4">
        <v>5.074E-2</v>
      </c>
      <c r="F85" s="1">
        <f>DEGREES(ATAN2(B85,C85*1000))</f>
        <v>26.116260932548045</v>
      </c>
      <c r="G85" s="1">
        <f>DEGREES(ATAN2(D85,E85*1000))</f>
        <v>45</v>
      </c>
    </row>
    <row r="86" spans="1:7" x14ac:dyDescent="0.3">
      <c r="A86" s="4"/>
      <c r="B86" s="4">
        <v>82</v>
      </c>
      <c r="C86" s="4">
        <v>4.0469999999999999E-2</v>
      </c>
      <c r="D86" s="4">
        <v>51.27</v>
      </c>
      <c r="E86" s="4">
        <v>5.1270000000000003E-2</v>
      </c>
      <c r="F86" s="1">
        <f>DEGREES(ATAN2(B86,C86*1000))</f>
        <v>26.268024805403041</v>
      </c>
      <c r="G86" s="1">
        <f>DEGREES(ATAN2(D86,E86*1000))</f>
        <v>45</v>
      </c>
    </row>
    <row r="87" spans="1:7" x14ac:dyDescent="0.3">
      <c r="A87" s="4"/>
      <c r="B87" s="4">
        <v>83</v>
      </c>
      <c r="C87" s="4">
        <v>4.1230000000000003E-2</v>
      </c>
      <c r="D87" s="4">
        <v>51.75</v>
      </c>
      <c r="E87" s="4">
        <v>5.1749999999999997E-2</v>
      </c>
      <c r="F87" s="1">
        <f>DEGREES(ATAN2(B87,C87*1000))</f>
        <v>26.415750154501946</v>
      </c>
      <c r="G87" s="1">
        <f>DEGREES(ATAN2(D87,E87*1000))</f>
        <v>45</v>
      </c>
    </row>
    <row r="88" spans="1:7" x14ac:dyDescent="0.3">
      <c r="A88" s="4"/>
      <c r="B88" s="4">
        <v>84</v>
      </c>
      <c r="C88" s="4">
        <v>4.199E-2</v>
      </c>
      <c r="D88" s="4">
        <v>52.22</v>
      </c>
      <c r="E88" s="4">
        <v>5.2220000000000003E-2</v>
      </c>
      <c r="F88" s="1">
        <f>DEGREES(ATAN2(B88,C88*1000))</f>
        <v>26.559594176331306</v>
      </c>
      <c r="G88" s="1">
        <f>DEGREES(ATAN2(D88,E88*1000))</f>
        <v>45.000000000000007</v>
      </c>
    </row>
    <row r="89" spans="1:7" x14ac:dyDescent="0.3">
      <c r="A89" s="4"/>
      <c r="B89" s="4">
        <v>85</v>
      </c>
      <c r="C89" s="4">
        <v>4.2759999999999999E-2</v>
      </c>
      <c r="D89" s="4">
        <v>52.69</v>
      </c>
      <c r="E89" s="4">
        <v>5.2690000000000001E-2</v>
      </c>
      <c r="F89" s="1">
        <f>DEGREES(ATAN2(B89,C89*1000))</f>
        <v>26.705085704352275</v>
      </c>
      <c r="G89" s="1">
        <f>DEGREES(ATAN2(D89,E89*1000))</f>
        <v>45</v>
      </c>
    </row>
    <row r="90" spans="1:7" x14ac:dyDescent="0.3">
      <c r="A90" s="4"/>
      <c r="B90" s="4">
        <v>86</v>
      </c>
      <c r="C90" s="4">
        <v>4.3520000000000003E-2</v>
      </c>
      <c r="D90" s="4">
        <v>53.16</v>
      </c>
      <c r="E90" s="4">
        <v>5.3159999999999999E-2</v>
      </c>
      <c r="F90" s="1">
        <f>DEGREES(ATAN2(B90,C90*1000))</f>
        <v>26.841532005700039</v>
      </c>
      <c r="G90" s="1">
        <f>DEGREES(ATAN2(D90,E90*1000))</f>
        <v>45</v>
      </c>
    </row>
    <row r="91" spans="1:7" x14ac:dyDescent="0.3">
      <c r="A91" s="4"/>
      <c r="B91" s="4">
        <v>87</v>
      </c>
      <c r="C91" s="4">
        <v>4.428E-2</v>
      </c>
      <c r="D91" s="4">
        <v>53.64</v>
      </c>
      <c r="E91" s="4">
        <v>5.364E-2</v>
      </c>
      <c r="F91" s="1">
        <f>DEGREES(ATAN2(B91,C91*1000))</f>
        <v>26.974524762945336</v>
      </c>
      <c r="G91" s="1">
        <f>DEGREES(ATAN2(D91,E91*1000))</f>
        <v>45</v>
      </c>
    </row>
    <row r="92" spans="1:7" x14ac:dyDescent="0.3">
      <c r="A92" s="4"/>
      <c r="B92" s="4">
        <v>88</v>
      </c>
      <c r="C92" s="4">
        <v>4.5039999999999997E-2</v>
      </c>
      <c r="D92" s="4">
        <v>54.11</v>
      </c>
      <c r="E92" s="4">
        <v>5.4109999999999998E-2</v>
      </c>
      <c r="F92" s="1">
        <f>DEGREES(ATAN2(B92,C92*1000))</f>
        <v>27.104192074419117</v>
      </c>
      <c r="G92" s="1">
        <f>DEGREES(ATAN2(D92,E92*1000))</f>
        <v>45</v>
      </c>
    </row>
    <row r="93" spans="1:7" x14ac:dyDescent="0.3">
      <c r="A93" s="4"/>
      <c r="B93" s="4">
        <v>89</v>
      </c>
      <c r="C93" s="4">
        <v>4.58E-2</v>
      </c>
      <c r="D93" s="4">
        <v>54.58</v>
      </c>
      <c r="E93" s="4">
        <v>5.4579999999999997E-2</v>
      </c>
      <c r="F93" s="1">
        <f>DEGREES(ATAN2(B93,C93*1000))</f>
        <v>27.230655847880257</v>
      </c>
      <c r="G93" s="1">
        <f>DEGREES(ATAN2(D93,E93*1000))</f>
        <v>45</v>
      </c>
    </row>
    <row r="94" spans="1:7" x14ac:dyDescent="0.3">
      <c r="A94" s="4"/>
      <c r="B94" s="4">
        <v>90</v>
      </c>
      <c r="C94" s="4">
        <v>4.6559999999999997E-2</v>
      </c>
      <c r="D94" s="4">
        <v>55.06</v>
      </c>
      <c r="E94" s="4">
        <v>5.5059999999999998E-2</v>
      </c>
      <c r="F94" s="1">
        <f>DEGREES(ATAN2(B94,C94*1000))</f>
        <v>27.354032165953996</v>
      </c>
      <c r="G94" s="1">
        <f>DEGREES(ATAN2(D94,E94*1000))</f>
        <v>45</v>
      </c>
    </row>
    <row r="95" spans="1:7" x14ac:dyDescent="0.3">
      <c r="A95" s="4"/>
      <c r="B95" s="4">
        <v>91</v>
      </c>
      <c r="C95" s="4">
        <v>4.7329999999999997E-2</v>
      </c>
      <c r="D95" s="4">
        <v>55.53</v>
      </c>
      <c r="E95" s="4">
        <v>5.5530000000000003E-2</v>
      </c>
      <c r="F95" s="1">
        <f>DEGREES(ATAN2(B95,C95*1000))</f>
        <v>27.47938751127225</v>
      </c>
      <c r="G95" s="1">
        <f>DEGREES(ATAN2(D95,E95*1000))</f>
        <v>45</v>
      </c>
    </row>
    <row r="96" spans="1:7" x14ac:dyDescent="0.3">
      <c r="A96" s="4"/>
      <c r="B96" s="4">
        <v>92</v>
      </c>
      <c r="C96" s="4">
        <v>4.8090000000000001E-2</v>
      </c>
      <c r="D96" s="4">
        <v>56</v>
      </c>
      <c r="E96" s="4">
        <v>5.6000000000000001E-2</v>
      </c>
      <c r="F96" s="1">
        <f>DEGREES(ATAN2(B96,C96*1000))</f>
        <v>27.596851204294875</v>
      </c>
      <c r="G96" s="1">
        <f>DEGREES(ATAN2(D96,E96*1000))</f>
        <v>45</v>
      </c>
    </row>
    <row r="97" spans="1:7" x14ac:dyDescent="0.3">
      <c r="A97" s="4"/>
      <c r="B97" s="4">
        <v>93</v>
      </c>
      <c r="C97" s="4">
        <v>4.8849999999999998E-2</v>
      </c>
      <c r="D97" s="4">
        <v>56.47</v>
      </c>
      <c r="E97" s="4">
        <v>5.6469999999999999E-2</v>
      </c>
      <c r="F97" s="1">
        <f>DEGREES(ATAN2(B97,C97*1000))</f>
        <v>27.71154562507726</v>
      </c>
      <c r="G97" s="1">
        <f>DEGREES(ATAN2(D97,E97*1000))</f>
        <v>45</v>
      </c>
    </row>
    <row r="98" spans="1:7" x14ac:dyDescent="0.3">
      <c r="A98" s="4"/>
      <c r="B98" s="4">
        <v>94</v>
      </c>
      <c r="C98" s="4">
        <v>4.9610000000000001E-2</v>
      </c>
      <c r="D98" s="4">
        <v>56.95</v>
      </c>
      <c r="E98" s="4">
        <v>5.6950000000000001E-2</v>
      </c>
      <c r="F98" s="1">
        <f>DEGREES(ATAN2(B98,C98*1000))</f>
        <v>27.823566675826889</v>
      </c>
      <c r="G98" s="1">
        <f>DEGREES(ATAN2(D98,E98*1000))</f>
        <v>45</v>
      </c>
    </row>
    <row r="99" spans="1:7" x14ac:dyDescent="0.3">
      <c r="A99" s="4"/>
      <c r="B99" s="4">
        <v>95</v>
      </c>
      <c r="C99" s="4">
        <v>5.0369999999999998E-2</v>
      </c>
      <c r="D99" s="4">
        <v>57.42</v>
      </c>
      <c r="E99" s="4">
        <v>5.7419999999999999E-2</v>
      </c>
      <c r="F99" s="1">
        <f>DEGREES(ATAN2(B99,C99*1000))</f>
        <v>27.933005921409126</v>
      </c>
      <c r="G99" s="1">
        <f>DEGREES(ATAN2(D99,E99*1000))</f>
        <v>45</v>
      </c>
    </row>
    <row r="100" spans="1:7" x14ac:dyDescent="0.3">
      <c r="A100" s="4"/>
      <c r="B100" s="4">
        <v>96</v>
      </c>
      <c r="C100" s="4">
        <v>5.1130000000000002E-2</v>
      </c>
      <c r="D100" s="4">
        <v>57.89</v>
      </c>
      <c r="E100" s="4">
        <v>5.7889999999999997E-2</v>
      </c>
      <c r="F100" s="1">
        <f>DEGREES(ATAN2(B100,C100*1000))</f>
        <v>28.03995082953718</v>
      </c>
      <c r="G100" s="1">
        <f>DEGREES(ATAN2(D100,E100*1000))</f>
        <v>45</v>
      </c>
    </row>
    <row r="101" spans="1:7" x14ac:dyDescent="0.3">
      <c r="A101" s="7"/>
      <c r="B101" s="4">
        <v>97</v>
      </c>
      <c r="C101" s="4">
        <v>5.1900000000000002E-2</v>
      </c>
      <c r="D101" s="4">
        <v>58.36</v>
      </c>
      <c r="E101" s="4">
        <v>5.8360000000000002E-2</v>
      </c>
      <c r="F101" s="1">
        <f>DEGREES(ATAN2(B101,C101*1000))</f>
        <v>28.149077334454116</v>
      </c>
      <c r="G101" s="1">
        <f>DEGREES(ATAN2(D101,E101*1000))</f>
        <v>45</v>
      </c>
    </row>
    <row r="102" spans="1:7" x14ac:dyDescent="0.3">
      <c r="B102" s="4">
        <v>98</v>
      </c>
      <c r="C102" s="4">
        <v>5.2659999999999998E-2</v>
      </c>
      <c r="D102" s="4">
        <v>58.84</v>
      </c>
      <c r="E102" s="4">
        <v>5.8840000000000003E-2</v>
      </c>
      <c r="F102" s="1">
        <f>DEGREES(ATAN2(B102,C102*1000))</f>
        <v>28.251225146239509</v>
      </c>
      <c r="G102" s="1">
        <f>DEGREES(ATAN2(D102,E102*1000))</f>
        <v>45</v>
      </c>
    </row>
    <row r="103" spans="1:7" x14ac:dyDescent="0.3">
      <c r="B103" s="4">
        <v>99</v>
      </c>
      <c r="C103" s="4">
        <v>5.3420000000000002E-2</v>
      </c>
      <c r="D103" s="4">
        <v>59.31</v>
      </c>
      <c r="E103" s="4">
        <v>5.9310000000000002E-2</v>
      </c>
      <c r="F103" s="1">
        <f>DEGREES(ATAN2(B103,C103*1000))</f>
        <v>28.351119907121554</v>
      </c>
      <c r="G103" s="1">
        <f>DEGREES(ATAN2(D103,E103*1000))</f>
        <v>45</v>
      </c>
    </row>
    <row r="104" spans="1:7" x14ac:dyDescent="0.3">
      <c r="B104" s="7">
        <v>100</v>
      </c>
      <c r="C104" s="7">
        <v>5.4179999999999999E-2</v>
      </c>
      <c r="D104" s="7">
        <v>59.78</v>
      </c>
      <c r="E104" s="7">
        <v>5.978E-2</v>
      </c>
      <c r="F104" s="1">
        <f>DEGREES(ATAN2(B104,C104*1000))</f>
        <v>28.4488347588007</v>
      </c>
      <c r="G104" s="1">
        <f>DEGREES(ATAN2(D104,E104*1000))</f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744311194@qq.com</cp:lastModifiedBy>
  <dcterms:created xsi:type="dcterms:W3CDTF">2015-06-05T18:19:34Z</dcterms:created>
  <dcterms:modified xsi:type="dcterms:W3CDTF">2025-11-28T15:33:53Z</dcterms:modified>
</cp:coreProperties>
</file>