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大学文件\课程学习\大二上\电路实验仿真\082肖心亮924110800231（评优）\综合实验\"/>
    </mc:Choice>
  </mc:AlternateContent>
  <xr:revisionPtr revIDLastSave="0" documentId="13_ncr:1_{9AA415A2-C1BC-4111-B3ED-DCEC2B5F5ED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2" i="1" l="1"/>
  <c r="H132" i="1"/>
  <c r="O2" i="1"/>
  <c r="P2" i="1"/>
  <c r="Q2" i="1"/>
  <c r="O3" i="1"/>
  <c r="P3" i="1"/>
  <c r="Q3" i="1"/>
  <c r="O4" i="1"/>
  <c r="P4" i="1"/>
  <c r="Q4" i="1"/>
  <c r="O5" i="1"/>
  <c r="P5" i="1"/>
  <c r="Q5" i="1"/>
  <c r="O6" i="1"/>
  <c r="P6" i="1"/>
  <c r="Q6" i="1"/>
  <c r="O7" i="1"/>
  <c r="P7" i="1"/>
  <c r="Q7" i="1"/>
  <c r="O8" i="1"/>
  <c r="Q8" i="1" s="1"/>
  <c r="P8" i="1"/>
  <c r="O9" i="1"/>
  <c r="P9" i="1"/>
  <c r="Q9" i="1"/>
  <c r="O10" i="1"/>
  <c r="P10" i="1"/>
  <c r="Q10" i="1"/>
  <c r="O11" i="1"/>
  <c r="P11" i="1"/>
  <c r="Q11" i="1"/>
  <c r="O12" i="1"/>
  <c r="Q12" i="1" s="1"/>
  <c r="P12" i="1"/>
  <c r="O13" i="1"/>
  <c r="Q13" i="1" s="1"/>
  <c r="P13" i="1"/>
  <c r="O14" i="1"/>
  <c r="P14" i="1"/>
  <c r="Q14" i="1"/>
  <c r="O15" i="1"/>
  <c r="P15" i="1"/>
  <c r="Q15" i="1"/>
  <c r="O16" i="1"/>
  <c r="P16" i="1"/>
  <c r="Q16" i="1"/>
  <c r="O17" i="1"/>
  <c r="P17" i="1"/>
  <c r="Q17" i="1"/>
  <c r="O18" i="1"/>
  <c r="P18" i="1"/>
  <c r="Q18" i="1"/>
  <c r="O19" i="1"/>
  <c r="P19" i="1"/>
  <c r="Q19" i="1"/>
  <c r="O20" i="1"/>
  <c r="P20" i="1"/>
  <c r="Q20" i="1"/>
  <c r="O21" i="1"/>
  <c r="P21" i="1"/>
  <c r="Q21" i="1"/>
  <c r="O22" i="1"/>
  <c r="P22" i="1"/>
  <c r="Q22" i="1"/>
  <c r="O23" i="1"/>
  <c r="Q23" i="1" s="1"/>
  <c r="P23" i="1"/>
  <c r="O24" i="1"/>
  <c r="Q24" i="1" s="1"/>
  <c r="P24" i="1"/>
  <c r="O25" i="1"/>
  <c r="P25" i="1"/>
  <c r="Q25" i="1"/>
  <c r="O26" i="1"/>
  <c r="P26" i="1"/>
  <c r="Q26" i="1"/>
  <c r="O27" i="1"/>
  <c r="P27" i="1"/>
  <c r="Q27" i="1"/>
  <c r="O28" i="1"/>
  <c r="Q28" i="1" s="1"/>
  <c r="P28" i="1"/>
  <c r="O29" i="1"/>
  <c r="Q29" i="1" s="1"/>
  <c r="P29" i="1"/>
  <c r="O30" i="1"/>
  <c r="P30" i="1"/>
  <c r="Q30" i="1"/>
  <c r="O31" i="1"/>
  <c r="P31" i="1"/>
  <c r="Q31" i="1"/>
  <c r="O32" i="1"/>
  <c r="P32" i="1"/>
  <c r="Q32" i="1"/>
  <c r="O33" i="1"/>
  <c r="P33" i="1"/>
  <c r="Q33" i="1"/>
  <c r="O34" i="1"/>
  <c r="P34" i="1"/>
  <c r="Q34" i="1"/>
  <c r="O35" i="1"/>
  <c r="P35" i="1"/>
  <c r="Q35" i="1"/>
  <c r="O36" i="1"/>
  <c r="P36" i="1"/>
  <c r="Q36" i="1"/>
  <c r="O37" i="1"/>
  <c r="P37" i="1"/>
  <c r="Q37" i="1"/>
  <c r="O38" i="1"/>
  <c r="P38" i="1"/>
  <c r="Q38" i="1"/>
  <c r="O39" i="1"/>
  <c r="Q39" i="1" s="1"/>
  <c r="P39" i="1"/>
  <c r="O40" i="1"/>
  <c r="Q40" i="1" s="1"/>
  <c r="P40" i="1"/>
  <c r="O41" i="1"/>
  <c r="P41" i="1"/>
  <c r="Q41" i="1"/>
  <c r="O42" i="1"/>
  <c r="P42" i="1"/>
  <c r="Q42" i="1"/>
  <c r="O43" i="1"/>
  <c r="P43" i="1"/>
  <c r="Q43" i="1"/>
  <c r="O44" i="1"/>
  <c r="Q44" i="1" s="1"/>
  <c r="P44" i="1"/>
  <c r="O45" i="1"/>
  <c r="Q45" i="1" s="1"/>
  <c r="P45" i="1"/>
  <c r="O46" i="1"/>
  <c r="P46" i="1"/>
  <c r="Q46" i="1"/>
  <c r="O47" i="1"/>
  <c r="P47" i="1"/>
  <c r="Q47" i="1"/>
  <c r="O48" i="1"/>
  <c r="P48" i="1"/>
  <c r="Q48" i="1"/>
  <c r="O49" i="1"/>
  <c r="P49" i="1"/>
  <c r="Q49" i="1"/>
  <c r="O50" i="1"/>
  <c r="P50" i="1"/>
  <c r="Q50" i="1"/>
  <c r="O51" i="1"/>
  <c r="P51" i="1"/>
  <c r="Q51" i="1"/>
  <c r="O52" i="1"/>
  <c r="P52" i="1"/>
  <c r="Q52" i="1"/>
  <c r="O53" i="1"/>
  <c r="P53" i="1"/>
  <c r="Q53" i="1"/>
  <c r="O54" i="1"/>
  <c r="P54" i="1"/>
  <c r="Q54" i="1"/>
  <c r="O55" i="1"/>
  <c r="Q55" i="1" s="1"/>
  <c r="P55" i="1"/>
  <c r="O56" i="1"/>
  <c r="Q56" i="1" s="1"/>
  <c r="P56" i="1"/>
  <c r="O57" i="1"/>
  <c r="P57" i="1"/>
  <c r="Q57" i="1"/>
  <c r="O58" i="1"/>
  <c r="P58" i="1"/>
  <c r="Q58" i="1"/>
  <c r="O59" i="1"/>
  <c r="P59" i="1"/>
  <c r="Q59" i="1"/>
  <c r="O60" i="1"/>
  <c r="Q60" i="1" s="1"/>
  <c r="P60" i="1"/>
  <c r="O61" i="1"/>
  <c r="Q61" i="1" s="1"/>
  <c r="P61" i="1"/>
  <c r="O62" i="1"/>
  <c r="P62" i="1"/>
  <c r="Q62" i="1"/>
  <c r="O63" i="1"/>
  <c r="P63" i="1"/>
  <c r="Q63" i="1"/>
  <c r="O64" i="1"/>
  <c r="P64" i="1"/>
  <c r="Q64" i="1"/>
  <c r="O65" i="1"/>
  <c r="P65" i="1"/>
  <c r="Q65" i="1"/>
  <c r="O66" i="1"/>
  <c r="P66" i="1"/>
  <c r="Q66" i="1"/>
  <c r="O67" i="1"/>
  <c r="P67" i="1"/>
  <c r="Q67" i="1"/>
  <c r="O68" i="1"/>
  <c r="P68" i="1"/>
  <c r="Q68" i="1"/>
  <c r="O69" i="1"/>
  <c r="P69" i="1"/>
  <c r="Q69" i="1"/>
  <c r="O70" i="1"/>
  <c r="P70" i="1"/>
  <c r="Q70" i="1"/>
  <c r="O71" i="1"/>
  <c r="Q71" i="1" s="1"/>
  <c r="P71" i="1"/>
  <c r="O72" i="1"/>
  <c r="Q72" i="1" s="1"/>
  <c r="P72" i="1"/>
  <c r="O73" i="1"/>
  <c r="P73" i="1"/>
  <c r="Q73" i="1"/>
  <c r="O74" i="1"/>
  <c r="P74" i="1"/>
  <c r="Q74" i="1"/>
  <c r="O75" i="1"/>
  <c r="P75" i="1"/>
  <c r="Q75" i="1"/>
  <c r="O76" i="1"/>
  <c r="Q76" i="1" s="1"/>
  <c r="P76" i="1"/>
  <c r="O77" i="1"/>
  <c r="Q77" i="1" s="1"/>
  <c r="P77" i="1"/>
  <c r="O78" i="1"/>
  <c r="P78" i="1"/>
  <c r="Q78" i="1"/>
  <c r="O79" i="1"/>
  <c r="P79" i="1"/>
  <c r="Q79" i="1"/>
  <c r="O80" i="1"/>
  <c r="P80" i="1"/>
  <c r="Q80" i="1"/>
  <c r="O81" i="1"/>
  <c r="P81" i="1"/>
  <c r="Q81" i="1"/>
  <c r="O82" i="1"/>
  <c r="P82" i="1"/>
  <c r="Q82" i="1"/>
  <c r="O83" i="1"/>
  <c r="P83" i="1"/>
  <c r="Q83" i="1"/>
  <c r="O84" i="1"/>
  <c r="P84" i="1"/>
  <c r="Q84" i="1"/>
  <c r="O85" i="1"/>
  <c r="P85" i="1"/>
  <c r="Q85" i="1"/>
  <c r="O86" i="1"/>
  <c r="P86" i="1"/>
  <c r="Q86" i="1"/>
  <c r="O87" i="1"/>
  <c r="Q87" i="1" s="1"/>
  <c r="P87" i="1"/>
  <c r="O88" i="1"/>
  <c r="Q88" i="1" s="1"/>
  <c r="P88" i="1"/>
  <c r="O89" i="1"/>
  <c r="P89" i="1"/>
  <c r="Q89" i="1"/>
  <c r="O90" i="1"/>
  <c r="P90" i="1"/>
  <c r="Q90" i="1"/>
  <c r="O91" i="1"/>
  <c r="P91" i="1"/>
  <c r="Q91" i="1"/>
  <c r="O92" i="1"/>
  <c r="Q92" i="1" s="1"/>
  <c r="P92" i="1"/>
  <c r="O93" i="1"/>
  <c r="Q93" i="1" s="1"/>
  <c r="P93" i="1"/>
  <c r="O94" i="1"/>
  <c r="P94" i="1"/>
  <c r="Q94" i="1"/>
  <c r="O95" i="1"/>
  <c r="P95" i="1"/>
  <c r="Q95" i="1"/>
  <c r="O96" i="1"/>
  <c r="P96" i="1"/>
  <c r="Q96" i="1"/>
  <c r="O97" i="1"/>
  <c r="P97" i="1"/>
  <c r="Q97" i="1"/>
  <c r="O98" i="1"/>
  <c r="P98" i="1"/>
  <c r="Q98" i="1"/>
  <c r="O99" i="1"/>
  <c r="P99" i="1"/>
  <c r="Q99" i="1"/>
  <c r="O100" i="1"/>
  <c r="P100" i="1"/>
  <c r="Q100" i="1"/>
  <c r="O101" i="1"/>
  <c r="P101" i="1"/>
  <c r="Q1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P103" i="1"/>
  <c r="P104" i="1"/>
  <c r="P105" i="1"/>
  <c r="P106" i="1"/>
  <c r="P107" i="1"/>
  <c r="P108" i="1"/>
  <c r="P109" i="1"/>
  <c r="P110" i="1"/>
  <c r="P111" i="1"/>
  <c r="P112" i="1"/>
  <c r="P113" i="1"/>
  <c r="Q113" i="1" s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Q129" i="1" s="1"/>
  <c r="P130" i="1"/>
  <c r="P131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Q153" i="1" s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Q169" i="1" s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Q185" i="1" s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Q201" i="1" s="1"/>
  <c r="P202" i="1"/>
  <c r="P203" i="1"/>
  <c r="P204" i="1"/>
  <c r="P205" i="1"/>
  <c r="P206" i="1"/>
  <c r="P207" i="1"/>
  <c r="P208" i="1"/>
  <c r="P209" i="1"/>
  <c r="P102" i="1"/>
  <c r="O103" i="1"/>
  <c r="Q103" i="1" s="1"/>
  <c r="O104" i="1"/>
  <c r="Q104" i="1" s="1"/>
  <c r="O105" i="1"/>
  <c r="Q105" i="1" s="1"/>
  <c r="O106" i="1"/>
  <c r="Q106" i="1" s="1"/>
  <c r="O107" i="1"/>
  <c r="O108" i="1"/>
  <c r="O109" i="1"/>
  <c r="O110" i="1"/>
  <c r="O111" i="1"/>
  <c r="O112" i="1"/>
  <c r="O113" i="1"/>
  <c r="O114" i="1"/>
  <c r="O115" i="1"/>
  <c r="Q115" i="1" s="1"/>
  <c r="O116" i="1"/>
  <c r="Q116" i="1" s="1"/>
  <c r="O117" i="1"/>
  <c r="Q117" i="1" s="1"/>
  <c r="O118" i="1"/>
  <c r="Q118" i="1" s="1"/>
  <c r="O119" i="1"/>
  <c r="Q119" i="1" s="1"/>
  <c r="O120" i="1"/>
  <c r="Q120" i="1" s="1"/>
  <c r="O121" i="1"/>
  <c r="Q121" i="1" s="1"/>
  <c r="O122" i="1"/>
  <c r="Q122" i="1" s="1"/>
  <c r="O123" i="1"/>
  <c r="O124" i="1"/>
  <c r="O125" i="1"/>
  <c r="O126" i="1"/>
  <c r="O127" i="1"/>
  <c r="O128" i="1"/>
  <c r="O129" i="1"/>
  <c r="O130" i="1"/>
  <c r="O131" i="1"/>
  <c r="Q131" i="1" s="1"/>
  <c r="O140" i="1"/>
  <c r="Q140" i="1" s="1"/>
  <c r="O141" i="1"/>
  <c r="Q141" i="1" s="1"/>
  <c r="O142" i="1"/>
  <c r="Q142" i="1" s="1"/>
  <c r="O143" i="1"/>
  <c r="Q143" i="1" s="1"/>
  <c r="O144" i="1"/>
  <c r="Q144" i="1" s="1"/>
  <c r="O145" i="1"/>
  <c r="Q145" i="1" s="1"/>
  <c r="O146" i="1"/>
  <c r="Q146" i="1" s="1"/>
  <c r="O147" i="1"/>
  <c r="O148" i="1"/>
  <c r="O149" i="1"/>
  <c r="O150" i="1"/>
  <c r="O151" i="1"/>
  <c r="O152" i="1"/>
  <c r="O153" i="1"/>
  <c r="O154" i="1"/>
  <c r="O155" i="1"/>
  <c r="Q155" i="1" s="1"/>
  <c r="O156" i="1"/>
  <c r="Q156" i="1" s="1"/>
  <c r="O157" i="1"/>
  <c r="Q157" i="1" s="1"/>
  <c r="O158" i="1"/>
  <c r="Q158" i="1" s="1"/>
  <c r="O159" i="1"/>
  <c r="Q159" i="1" s="1"/>
  <c r="O160" i="1"/>
  <c r="Q160" i="1" s="1"/>
  <c r="O161" i="1"/>
  <c r="Q161" i="1" s="1"/>
  <c r="O162" i="1"/>
  <c r="Q162" i="1" s="1"/>
  <c r="O163" i="1"/>
  <c r="O164" i="1"/>
  <c r="O165" i="1"/>
  <c r="O166" i="1"/>
  <c r="O167" i="1"/>
  <c r="O168" i="1"/>
  <c r="O169" i="1"/>
  <c r="O170" i="1"/>
  <c r="O171" i="1"/>
  <c r="Q171" i="1" s="1"/>
  <c r="O172" i="1"/>
  <c r="Q172" i="1" s="1"/>
  <c r="O173" i="1"/>
  <c r="Q173" i="1" s="1"/>
  <c r="O174" i="1"/>
  <c r="Q174" i="1" s="1"/>
  <c r="O175" i="1"/>
  <c r="Q175" i="1" s="1"/>
  <c r="O176" i="1"/>
  <c r="Q176" i="1" s="1"/>
  <c r="O177" i="1"/>
  <c r="Q177" i="1" s="1"/>
  <c r="O178" i="1"/>
  <c r="Q178" i="1" s="1"/>
  <c r="O179" i="1"/>
  <c r="O180" i="1"/>
  <c r="O181" i="1"/>
  <c r="O182" i="1"/>
  <c r="O183" i="1"/>
  <c r="O184" i="1"/>
  <c r="O185" i="1"/>
  <c r="O186" i="1"/>
  <c r="O187" i="1"/>
  <c r="Q187" i="1" s="1"/>
  <c r="O188" i="1"/>
  <c r="Q188" i="1" s="1"/>
  <c r="O189" i="1"/>
  <c r="Q189" i="1" s="1"/>
  <c r="O190" i="1"/>
  <c r="Q190" i="1" s="1"/>
  <c r="O191" i="1"/>
  <c r="Q191" i="1" s="1"/>
  <c r="O192" i="1"/>
  <c r="Q192" i="1" s="1"/>
  <c r="O193" i="1"/>
  <c r="Q193" i="1" s="1"/>
  <c r="O194" i="1"/>
  <c r="Q194" i="1" s="1"/>
  <c r="O195" i="1"/>
  <c r="O196" i="1"/>
  <c r="O197" i="1"/>
  <c r="O198" i="1"/>
  <c r="O199" i="1"/>
  <c r="O200" i="1"/>
  <c r="O201" i="1"/>
  <c r="O202" i="1"/>
  <c r="O203" i="1"/>
  <c r="Q203" i="1" s="1"/>
  <c r="O204" i="1"/>
  <c r="Q204" i="1" s="1"/>
  <c r="O205" i="1"/>
  <c r="Q205" i="1" s="1"/>
  <c r="O206" i="1"/>
  <c r="Q206" i="1" s="1"/>
  <c r="O207" i="1"/>
  <c r="Q207" i="1" s="1"/>
  <c r="O208" i="1"/>
  <c r="Q208" i="1" s="1"/>
  <c r="O209" i="1"/>
  <c r="Q209" i="1" s="1"/>
  <c r="O102" i="1"/>
  <c r="Q102" i="1" s="1"/>
  <c r="G102" i="1"/>
  <c r="F102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F103" i="1"/>
  <c r="F104" i="1"/>
  <c r="F105" i="1"/>
  <c r="H105" i="1" s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H121" i="1" s="1"/>
  <c r="F122" i="1"/>
  <c r="H122" i="1" s="1"/>
  <c r="F123" i="1"/>
  <c r="F124" i="1"/>
  <c r="F125" i="1"/>
  <c r="F126" i="1"/>
  <c r="F127" i="1"/>
  <c r="F128" i="1"/>
  <c r="F129" i="1"/>
  <c r="F130" i="1"/>
  <c r="F131" i="1"/>
  <c r="F140" i="1"/>
  <c r="F141" i="1"/>
  <c r="F142" i="1"/>
  <c r="F143" i="1"/>
  <c r="F144" i="1"/>
  <c r="F145" i="1"/>
  <c r="H145" i="1" s="1"/>
  <c r="F146" i="1"/>
  <c r="H146" i="1" s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H161" i="1" s="1"/>
  <c r="F162" i="1"/>
  <c r="H162" i="1" s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H177" i="1" s="1"/>
  <c r="F178" i="1"/>
  <c r="H178" i="1" s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H193" i="1" s="1"/>
  <c r="F194" i="1"/>
  <c r="H194" i="1" s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H209" i="1" s="1"/>
  <c r="Q198" i="1" l="1"/>
  <c r="Q182" i="1"/>
  <c r="Q166" i="1"/>
  <c r="Q150" i="1"/>
  <c r="Q126" i="1"/>
  <c r="Q110" i="1"/>
  <c r="Q202" i="1"/>
  <c r="Q186" i="1"/>
  <c r="Q170" i="1"/>
  <c r="Q154" i="1"/>
  <c r="Q130" i="1"/>
  <c r="Q114" i="1"/>
  <c r="Q197" i="1"/>
  <c r="Q181" i="1"/>
  <c r="Q165" i="1"/>
  <c r="Q149" i="1"/>
  <c r="Q125" i="1"/>
  <c r="Q109" i="1"/>
  <c r="Q196" i="1"/>
  <c r="Q180" i="1"/>
  <c r="Q164" i="1"/>
  <c r="Q148" i="1"/>
  <c r="Q124" i="1"/>
  <c r="Q108" i="1"/>
  <c r="Q200" i="1"/>
  <c r="Q184" i="1"/>
  <c r="Q168" i="1"/>
  <c r="Q152" i="1"/>
  <c r="Q128" i="1"/>
  <c r="Q112" i="1"/>
  <c r="Q195" i="1"/>
  <c r="Q179" i="1"/>
  <c r="Q163" i="1"/>
  <c r="Q147" i="1"/>
  <c r="Q123" i="1"/>
  <c r="Q107" i="1"/>
  <c r="Q199" i="1"/>
  <c r="Q183" i="1"/>
  <c r="Q167" i="1"/>
  <c r="Q151" i="1"/>
  <c r="Q127" i="1"/>
  <c r="Q111" i="1"/>
  <c r="H208" i="1"/>
  <c r="H192" i="1"/>
  <c r="H176" i="1"/>
  <c r="H160" i="1"/>
  <c r="H144" i="1"/>
  <c r="H120" i="1"/>
  <c r="H104" i="1"/>
  <c r="H191" i="1"/>
  <c r="H143" i="1"/>
  <c r="H119" i="1"/>
  <c r="H207" i="1"/>
  <c r="H175" i="1"/>
  <c r="H159" i="1"/>
  <c r="H206" i="1"/>
  <c r="H190" i="1"/>
  <c r="H174" i="1"/>
  <c r="H106" i="1"/>
  <c r="H158" i="1"/>
  <c r="H199" i="1"/>
  <c r="H167" i="1"/>
  <c r="H111" i="1"/>
  <c r="H183" i="1"/>
  <c r="H127" i="1"/>
  <c r="H151" i="1"/>
  <c r="H102" i="1"/>
  <c r="H103" i="1"/>
  <c r="H118" i="1"/>
  <c r="H142" i="1"/>
  <c r="H116" i="1"/>
  <c r="H140" i="1"/>
  <c r="H198" i="1"/>
  <c r="H166" i="1"/>
  <c r="H150" i="1"/>
  <c r="H126" i="1"/>
  <c r="H110" i="1"/>
  <c r="H204" i="1"/>
  <c r="H188" i="1"/>
  <c r="H172" i="1"/>
  <c r="H182" i="1"/>
  <c r="H156" i="1"/>
  <c r="H196" i="1"/>
  <c r="H180" i="1"/>
  <c r="H164" i="1"/>
  <c r="H148" i="1"/>
  <c r="H124" i="1"/>
  <c r="H108" i="1"/>
  <c r="H197" i="1"/>
  <c r="H181" i="1"/>
  <c r="H165" i="1"/>
  <c r="H149" i="1"/>
  <c r="H125" i="1"/>
  <c r="H109" i="1"/>
  <c r="H195" i="1"/>
  <c r="H179" i="1"/>
  <c r="H163" i="1"/>
  <c r="H147" i="1"/>
  <c r="H123" i="1"/>
  <c r="H107" i="1"/>
  <c r="H202" i="1"/>
  <c r="H186" i="1"/>
  <c r="H170" i="1"/>
  <c r="H154" i="1"/>
  <c r="H130" i="1"/>
  <c r="H114" i="1"/>
  <c r="H205" i="1"/>
  <c r="H189" i="1"/>
  <c r="H173" i="1"/>
  <c r="H157" i="1"/>
  <c r="H141" i="1"/>
  <c r="H117" i="1"/>
  <c r="H169" i="1"/>
  <c r="H113" i="1"/>
  <c r="H201" i="1"/>
  <c r="H185" i="1"/>
  <c r="H153" i="1"/>
  <c r="H129" i="1"/>
  <c r="H200" i="1"/>
  <c r="H184" i="1"/>
  <c r="H168" i="1"/>
  <c r="H152" i="1"/>
  <c r="H128" i="1"/>
  <c r="H112" i="1"/>
  <c r="H203" i="1"/>
  <c r="H187" i="1"/>
  <c r="H171" i="1"/>
  <c r="H155" i="1"/>
  <c r="H131" i="1"/>
  <c r="H115" i="1"/>
</calcChain>
</file>

<file path=xl/sharedStrings.xml><?xml version="1.0" encoding="utf-8"?>
<sst xmlns="http://schemas.openxmlformats.org/spreadsheetml/2006/main" count="18" uniqueCount="11">
  <si>
    <t>U1/V</t>
    <phoneticPr fontId="1" type="noConversion"/>
  </si>
  <si>
    <t>I1/A</t>
    <phoneticPr fontId="1" type="noConversion"/>
  </si>
  <si>
    <t>U2/V</t>
    <phoneticPr fontId="1" type="noConversion"/>
  </si>
  <si>
    <t>I2/A</t>
    <phoneticPr fontId="1" type="noConversion"/>
  </si>
  <si>
    <r>
      <rPr>
        <sz val="11"/>
        <color theme="1"/>
        <rFont val="等线"/>
        <family val="2"/>
      </rPr>
      <t>旋转角度</t>
    </r>
    <r>
      <rPr>
        <sz val="11"/>
        <color theme="1"/>
        <rFont val="Times New Roman"/>
        <family val="1"/>
      </rPr>
      <t>/°</t>
    </r>
    <phoneticPr fontId="1" type="noConversion"/>
  </si>
  <si>
    <r>
      <rPr>
        <sz val="11"/>
        <color theme="1"/>
        <rFont val="等线"/>
        <family val="1"/>
        <charset val="134"/>
      </rPr>
      <t>旋转后角度</t>
    </r>
    <r>
      <rPr>
        <sz val="11"/>
        <color theme="1"/>
        <rFont val="Times New Roman"/>
        <family val="1"/>
      </rPr>
      <t>/°</t>
    </r>
    <phoneticPr fontId="1" type="noConversion"/>
  </si>
  <si>
    <r>
      <rPr>
        <sz val="11"/>
        <color theme="1"/>
        <rFont val="等线"/>
        <family val="1"/>
        <charset val="134"/>
      </rPr>
      <t>旋转角度</t>
    </r>
    <r>
      <rPr>
        <sz val="11"/>
        <color theme="1"/>
        <rFont val="Times New Roman"/>
        <family val="1"/>
      </rPr>
      <t>/°</t>
    </r>
    <phoneticPr fontId="1" type="noConversion"/>
  </si>
  <si>
    <t>正向</t>
    <phoneticPr fontId="1" type="noConversion"/>
  </si>
  <si>
    <r>
      <rPr>
        <sz val="11"/>
        <color theme="1"/>
        <rFont val="等线"/>
        <family val="3"/>
        <charset val="134"/>
      </rPr>
      <t>反向</t>
    </r>
    <phoneticPr fontId="1" type="noConversion"/>
  </si>
  <si>
    <r>
      <rPr>
        <sz val="11"/>
        <color theme="1"/>
        <rFont val="宋体"/>
        <family val="1"/>
        <charset val="134"/>
      </rPr>
      <t>平均值</t>
    </r>
    <phoneticPr fontId="1" type="noConversion"/>
  </si>
  <si>
    <t>平均值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</si>
</sst>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等线"/>
      <family val="1"/>
      <charset val="134"/>
    </font>
    <font>
      <sz val="11"/>
      <color theme="1"/>
      <name val="等线"/>
      <family val="2"/>
    </font>
    <font>
      <sz val="11"/>
      <color theme="1"/>
      <name val="宋体"/>
      <family val="1"/>
      <charset val="134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9"/>
  <sheetViews>
    <sheetView tabSelected="1" zoomScale="115" zoomScaleNormal="115" workbookViewId="0">
      <selection activeCell="I2" sqref="I2:I19"/>
    </sheetView>
  </sheetViews>
  <sheetFormatPr defaultRowHeight="14" x14ac:dyDescent="0.3"/>
  <cols>
    <col min="1" max="1" width="12" style="1" customWidth="1"/>
    <col min="2" max="2" width="9.08203125" style="1" bestFit="1" customWidth="1"/>
    <col min="3" max="6" width="8.75" style="1" bestFit="1" customWidth="1"/>
    <col min="7" max="7" width="12.58203125" style="1" bestFit="1" customWidth="1"/>
    <col min="8" max="8" width="8.75" style="1" bestFit="1" customWidth="1"/>
    <col min="9" max="16384" width="8.6640625" style="1"/>
  </cols>
  <sheetData>
    <row r="1" spans="1:19" ht="14.5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4</v>
      </c>
      <c r="J1" s="4" t="s">
        <v>7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5</v>
      </c>
      <c r="P1" s="1" t="s">
        <v>6</v>
      </c>
      <c r="Q1" s="1" t="s">
        <v>4</v>
      </c>
    </row>
    <row r="2" spans="1:19" x14ac:dyDescent="0.3">
      <c r="A2" s="2"/>
      <c r="B2" s="2">
        <v>0.01</v>
      </c>
      <c r="C2" s="2">
        <v>-7.7060000000000004E-6</v>
      </c>
      <c r="D2" s="2">
        <v>1.2579999999999999E-2</v>
      </c>
      <c r="E2" s="2">
        <v>2.536E-13</v>
      </c>
      <c r="F2" s="1">
        <f t="shared" ref="F2:F65" si="0">DEGREES(ATAN2(B2,C2*1000))</f>
        <v>-37.61784657456807</v>
      </c>
      <c r="G2" s="1">
        <f t="shared" ref="G2:G65" si="1">DEGREES(ATAN2(D2,E2*1000))</f>
        <v>1.1550246172112619E-6</v>
      </c>
      <c r="H2" s="1">
        <f t="shared" ref="H2:H65" si="2">F2-G2</f>
        <v>-37.61784772959269</v>
      </c>
      <c r="I2" s="3"/>
      <c r="K2" s="2">
        <v>0.01</v>
      </c>
      <c r="L2" s="2">
        <v>-7.7060000000000004E-6</v>
      </c>
      <c r="M2" s="2">
        <v>1.2579999999999999E-2</v>
      </c>
      <c r="N2" s="2">
        <v>3.1170000000000002E-13</v>
      </c>
      <c r="O2" s="1">
        <f t="shared" ref="O2:O65" si="3">DEGREES(ATAN2(K2,L2*1000))</f>
        <v>-37.61784657456807</v>
      </c>
      <c r="P2" s="1">
        <f t="shared" ref="P2:P65" si="4">DEGREES(ATAN2(M2,N2*1000))</f>
        <v>1.4196418500975959E-6</v>
      </c>
      <c r="Q2" s="1">
        <f t="shared" ref="Q2:Q65" si="5">O2-P2</f>
        <v>-37.617847994209917</v>
      </c>
      <c r="S2" s="3"/>
    </row>
    <row r="3" spans="1:19" x14ac:dyDescent="0.3">
      <c r="A3" s="2"/>
      <c r="B3" s="2">
        <v>0.02</v>
      </c>
      <c r="C3" s="2">
        <v>-1.524E-5</v>
      </c>
      <c r="D3" s="2">
        <v>2.5100000000000001E-2</v>
      </c>
      <c r="E3" s="2">
        <v>4.6089999999999998E-13</v>
      </c>
      <c r="F3" s="1">
        <f t="shared" si="0"/>
        <v>-37.307400662861937</v>
      </c>
      <c r="G3" s="1">
        <f t="shared" si="1"/>
        <v>1.0520966046844477E-6</v>
      </c>
      <c r="H3" s="1">
        <f t="shared" si="2"/>
        <v>-37.307401714958544</v>
      </c>
      <c r="I3" s="3"/>
      <c r="K3" s="2">
        <v>0.02</v>
      </c>
      <c r="L3" s="2">
        <v>-1.524E-5</v>
      </c>
      <c r="M3" s="2">
        <v>2.5100000000000001E-2</v>
      </c>
      <c r="N3" s="2">
        <v>6.9589999999999999E-13</v>
      </c>
      <c r="O3" s="1">
        <f t="shared" si="3"/>
        <v>-37.307400662861937</v>
      </c>
      <c r="P3" s="1">
        <f t="shared" si="4"/>
        <v>1.5885311937511544E-6</v>
      </c>
      <c r="Q3" s="1">
        <f t="shared" si="5"/>
        <v>-37.307402251393128</v>
      </c>
    </row>
    <row r="4" spans="1:19" x14ac:dyDescent="0.3">
      <c r="A4" s="2"/>
      <c r="B4" s="2">
        <v>0.03</v>
      </c>
      <c r="C4" s="2">
        <v>-2.2779999999999999E-5</v>
      </c>
      <c r="D4" s="2">
        <v>3.7620000000000001E-2</v>
      </c>
      <c r="E4" s="2">
        <v>6.3300000000000003E-13</v>
      </c>
      <c r="F4" s="1">
        <f t="shared" si="0"/>
        <v>-37.210613992015674</v>
      </c>
      <c r="G4" s="1">
        <f t="shared" si="1"/>
        <v>9.6406774140832302E-7</v>
      </c>
      <c r="H4" s="1">
        <f t="shared" si="2"/>
        <v>-37.210614956083418</v>
      </c>
      <c r="I4" s="3"/>
      <c r="K4" s="2">
        <v>0.03</v>
      </c>
      <c r="L4" s="2">
        <v>-2.2779999999999999E-5</v>
      </c>
      <c r="M4" s="2">
        <v>3.7620000000000001E-2</v>
      </c>
      <c r="N4" s="2">
        <v>1.174E-12</v>
      </c>
      <c r="O4" s="1">
        <f t="shared" si="3"/>
        <v>-37.210613992015674</v>
      </c>
      <c r="P4" s="1">
        <f t="shared" si="4"/>
        <v>1.7880182123433976E-6</v>
      </c>
      <c r="Q4" s="1">
        <f t="shared" si="5"/>
        <v>-37.210615780033883</v>
      </c>
    </row>
    <row r="5" spans="1:19" x14ac:dyDescent="0.3">
      <c r="A5" s="2"/>
      <c r="B5" s="2">
        <v>0.04</v>
      </c>
      <c r="C5" s="2">
        <v>-3.0309999999999999E-5</v>
      </c>
      <c r="D5" s="2">
        <v>5.0139999999999997E-2</v>
      </c>
      <c r="E5" s="2">
        <v>7.7760000000000004E-13</v>
      </c>
      <c r="F5" s="1">
        <f t="shared" si="0"/>
        <v>-37.153029149825024</v>
      </c>
      <c r="G5" s="1">
        <f t="shared" si="1"/>
        <v>8.8857595032654217E-7</v>
      </c>
      <c r="H5" s="1">
        <f t="shared" si="2"/>
        <v>-37.153030038400971</v>
      </c>
      <c r="I5" s="3"/>
      <c r="K5" s="2">
        <v>0.04</v>
      </c>
      <c r="L5" s="2">
        <v>-3.0309999999999999E-5</v>
      </c>
      <c r="M5" s="2">
        <v>5.0139999999999997E-2</v>
      </c>
      <c r="N5" s="2">
        <v>1.773E-12</v>
      </c>
      <c r="O5" s="1">
        <f t="shared" si="3"/>
        <v>-37.153029149825024</v>
      </c>
      <c r="P5" s="1">
        <f t="shared" si="4"/>
        <v>2.0260354422954711E-6</v>
      </c>
      <c r="Q5" s="1">
        <f t="shared" si="5"/>
        <v>-37.153031175860463</v>
      </c>
    </row>
    <row r="6" spans="1:19" x14ac:dyDescent="0.3">
      <c r="A6" s="2"/>
      <c r="B6" s="2">
        <v>0.05</v>
      </c>
      <c r="C6" s="2">
        <v>-3.7849999999999998E-5</v>
      </c>
      <c r="D6" s="2">
        <v>6.2659999999999993E-2</v>
      </c>
      <c r="E6" s="2">
        <v>9.0079999999999996E-13</v>
      </c>
      <c r="F6" s="1">
        <f t="shared" si="0"/>
        <v>-37.125721464277674</v>
      </c>
      <c r="G6" s="1">
        <f t="shared" si="1"/>
        <v>8.2368397997741065E-7</v>
      </c>
      <c r="H6" s="1">
        <f t="shared" si="2"/>
        <v>-37.125722287961658</v>
      </c>
      <c r="I6" s="3"/>
      <c r="K6" s="2">
        <v>0.05</v>
      </c>
      <c r="L6" s="2">
        <v>-3.7849999999999998E-5</v>
      </c>
      <c r="M6" s="2">
        <v>6.2659999999999993E-2</v>
      </c>
      <c r="N6" s="2">
        <v>2.5259999999999999E-12</v>
      </c>
      <c r="O6" s="1">
        <f t="shared" si="3"/>
        <v>-37.125721464277674</v>
      </c>
      <c r="P6" s="1">
        <f t="shared" si="4"/>
        <v>2.3097532564641856E-6</v>
      </c>
      <c r="Q6" s="1">
        <f t="shared" si="5"/>
        <v>-37.125723774030931</v>
      </c>
    </row>
    <row r="7" spans="1:19" x14ac:dyDescent="0.3">
      <c r="A7" s="2"/>
      <c r="B7" s="2">
        <v>0.06</v>
      </c>
      <c r="C7" s="2">
        <v>-4.5380000000000003E-5</v>
      </c>
      <c r="D7" s="2">
        <v>7.5190000000000007E-2</v>
      </c>
      <c r="E7" s="2">
        <v>1.0070000000000001E-12</v>
      </c>
      <c r="F7" s="1">
        <f t="shared" si="0"/>
        <v>-37.101431412007585</v>
      </c>
      <c r="G7" s="1">
        <f t="shared" si="1"/>
        <v>7.6734738621723504E-7</v>
      </c>
      <c r="H7" s="1">
        <f t="shared" si="2"/>
        <v>-37.101432179354973</v>
      </c>
      <c r="I7" s="3"/>
      <c r="K7" s="2">
        <v>0.06</v>
      </c>
      <c r="L7" s="2">
        <v>-4.5380000000000003E-5</v>
      </c>
      <c r="M7" s="2">
        <v>7.5190000000000007E-2</v>
      </c>
      <c r="N7" s="2">
        <v>3.475E-12</v>
      </c>
      <c r="O7" s="1">
        <f t="shared" si="3"/>
        <v>-37.101431412007585</v>
      </c>
      <c r="P7" s="1">
        <f t="shared" si="4"/>
        <v>2.6479961937486487E-6</v>
      </c>
      <c r="Q7" s="1">
        <f t="shared" si="5"/>
        <v>-37.101434060003776</v>
      </c>
    </row>
    <row r="8" spans="1:19" x14ac:dyDescent="0.3">
      <c r="A8" s="2"/>
      <c r="B8" s="2">
        <v>7.0000000000000007E-2</v>
      </c>
      <c r="C8" s="2">
        <v>-5.2920000000000002E-5</v>
      </c>
      <c r="D8" s="2">
        <v>8.7709999999999996E-2</v>
      </c>
      <c r="E8" s="2">
        <v>1.1010000000000001E-12</v>
      </c>
      <c r="F8" s="1">
        <f t="shared" si="0"/>
        <v>-37.089280541225577</v>
      </c>
      <c r="G8" s="1">
        <f t="shared" si="1"/>
        <v>7.1921848413982032E-7</v>
      </c>
      <c r="H8" s="1">
        <f t="shared" si="2"/>
        <v>-37.089281260444061</v>
      </c>
      <c r="I8" s="3"/>
      <c r="K8" s="2">
        <v>7.0000000000000007E-2</v>
      </c>
      <c r="L8" s="2">
        <v>-5.2920000000000002E-5</v>
      </c>
      <c r="M8" s="2">
        <v>8.7709999999999996E-2</v>
      </c>
      <c r="N8" s="2">
        <v>4.6739999999999997E-12</v>
      </c>
      <c r="O8" s="1">
        <f t="shared" si="3"/>
        <v>-37.089280541225577</v>
      </c>
      <c r="P8" s="1">
        <f t="shared" si="4"/>
        <v>3.0532490416616858E-6</v>
      </c>
      <c r="Q8" s="1">
        <f t="shared" si="5"/>
        <v>-37.089283594474615</v>
      </c>
    </row>
    <row r="9" spans="1:19" x14ac:dyDescent="0.3">
      <c r="A9" s="2"/>
      <c r="B9" s="2">
        <v>0.08</v>
      </c>
      <c r="C9" s="2">
        <v>-6.0449999999999999E-5</v>
      </c>
      <c r="D9" s="2">
        <v>0.1002</v>
      </c>
      <c r="E9" s="2">
        <v>1.184E-12</v>
      </c>
      <c r="F9" s="1">
        <f t="shared" si="0"/>
        <v>-37.075606152857404</v>
      </c>
      <c r="G9" s="1">
        <f t="shared" si="1"/>
        <v>6.770279734879189E-7</v>
      </c>
      <c r="H9" s="1">
        <f t="shared" si="2"/>
        <v>-37.07560682988538</v>
      </c>
      <c r="I9" s="3"/>
      <c r="K9" s="2">
        <v>0.08</v>
      </c>
      <c r="L9" s="2">
        <v>-6.0449999999999999E-5</v>
      </c>
      <c r="M9" s="2">
        <v>0.1002</v>
      </c>
      <c r="N9" s="2">
        <v>6.193E-12</v>
      </c>
      <c r="O9" s="1">
        <f t="shared" si="3"/>
        <v>-37.075606152857404</v>
      </c>
      <c r="P9" s="1">
        <f t="shared" si="4"/>
        <v>3.5412451349752332E-6</v>
      </c>
      <c r="Q9" s="1">
        <f t="shared" si="5"/>
        <v>-37.075609694102539</v>
      </c>
    </row>
    <row r="10" spans="1:19" x14ac:dyDescent="0.3">
      <c r="A10" s="2"/>
      <c r="B10" s="2">
        <v>0.09</v>
      </c>
      <c r="C10" s="2">
        <v>-6.7990000000000005E-5</v>
      </c>
      <c r="D10" s="2">
        <v>0.11269999999999999</v>
      </c>
      <c r="E10" s="2">
        <v>1.259E-12</v>
      </c>
      <c r="F10" s="1">
        <f t="shared" si="0"/>
        <v>-37.069020428482979</v>
      </c>
      <c r="G10" s="1">
        <f t="shared" si="1"/>
        <v>6.4006554043452203E-7</v>
      </c>
      <c r="H10" s="1">
        <f t="shared" si="2"/>
        <v>-37.069021068548523</v>
      </c>
      <c r="I10" s="3"/>
      <c r="K10" s="2">
        <v>0.09</v>
      </c>
      <c r="L10" s="2">
        <v>-6.7990000000000005E-5</v>
      </c>
      <c r="M10" s="2">
        <v>0.11269999999999999</v>
      </c>
      <c r="N10" s="2">
        <v>8.1210000000000006E-12</v>
      </c>
      <c r="O10" s="1">
        <f t="shared" si="3"/>
        <v>-37.069020428482979</v>
      </c>
      <c r="P10" s="1">
        <f t="shared" si="4"/>
        <v>4.1286515122071057E-6</v>
      </c>
      <c r="Q10" s="1">
        <f t="shared" si="5"/>
        <v>-37.06902455713449</v>
      </c>
    </row>
    <row r="11" spans="1:19" x14ac:dyDescent="0.3">
      <c r="A11" s="2"/>
      <c r="B11" s="2">
        <v>0.1</v>
      </c>
      <c r="C11" s="2">
        <v>-7.5519999999999995E-5</v>
      </c>
      <c r="D11" s="2">
        <v>0.12529999999999999</v>
      </c>
      <c r="E11" s="2">
        <v>1.3290000000000001E-12</v>
      </c>
      <c r="F11" s="1">
        <f t="shared" si="0"/>
        <v>-37.060102548167649</v>
      </c>
      <c r="G11" s="1">
        <f t="shared" si="1"/>
        <v>6.0771022324729778E-7</v>
      </c>
      <c r="H11" s="1">
        <f t="shared" si="2"/>
        <v>-37.060103155877869</v>
      </c>
      <c r="I11" s="3"/>
      <c r="K11" s="2">
        <v>0.1</v>
      </c>
      <c r="L11" s="2">
        <v>-7.5519999999999995E-5</v>
      </c>
      <c r="M11" s="2">
        <v>0.12529999999999999</v>
      </c>
      <c r="N11" s="2">
        <v>1.057E-11</v>
      </c>
      <c r="O11" s="1">
        <f t="shared" si="3"/>
        <v>-37.060102548167649</v>
      </c>
      <c r="P11" s="1">
        <f t="shared" si="4"/>
        <v>4.8333311209359835E-6</v>
      </c>
      <c r="Q11" s="1">
        <f t="shared" si="5"/>
        <v>-37.060107381498767</v>
      </c>
    </row>
    <row r="12" spans="1:19" x14ac:dyDescent="0.3">
      <c r="A12" s="2"/>
      <c r="B12" s="2">
        <v>0.11</v>
      </c>
      <c r="C12" s="2">
        <v>-8.3059999999999994E-5</v>
      </c>
      <c r="D12" s="2">
        <v>0.13780000000000001</v>
      </c>
      <c r="E12" s="2">
        <v>1.393E-12</v>
      </c>
      <c r="F12" s="1">
        <f t="shared" si="0"/>
        <v>-37.056121990968485</v>
      </c>
      <c r="G12" s="1">
        <f t="shared" si="1"/>
        <v>5.7919463615184095E-7</v>
      </c>
      <c r="H12" s="1">
        <f t="shared" si="2"/>
        <v>-37.056122570163119</v>
      </c>
      <c r="I12" s="3"/>
      <c r="K12" s="2">
        <v>0.11</v>
      </c>
      <c r="L12" s="2">
        <v>-8.3059999999999994E-5</v>
      </c>
      <c r="M12" s="2">
        <v>0.13780000000000001</v>
      </c>
      <c r="N12" s="2">
        <v>1.368E-11</v>
      </c>
      <c r="O12" s="1">
        <f t="shared" si="3"/>
        <v>-37.056121990968485</v>
      </c>
      <c r="P12" s="1">
        <f t="shared" si="4"/>
        <v>5.6879990111680949E-6</v>
      </c>
      <c r="Q12" s="1">
        <f t="shared" si="5"/>
        <v>-37.056127678967499</v>
      </c>
    </row>
    <row r="13" spans="1:19" x14ac:dyDescent="0.3">
      <c r="A13" s="2"/>
      <c r="B13" s="2">
        <v>0.12</v>
      </c>
      <c r="C13" s="2">
        <v>-9.0600000000000007E-5</v>
      </c>
      <c r="D13" s="2">
        <v>0.15029999999999999</v>
      </c>
      <c r="E13" s="2">
        <v>1.4540000000000001E-12</v>
      </c>
      <c r="F13" s="1">
        <f t="shared" si="0"/>
        <v>-37.052804540912</v>
      </c>
      <c r="G13" s="1">
        <f t="shared" si="1"/>
        <v>5.5427853234878051E-7</v>
      </c>
      <c r="H13" s="1">
        <f t="shared" si="2"/>
        <v>-37.052805095190529</v>
      </c>
      <c r="I13" s="3"/>
      <c r="K13" s="2">
        <v>0.12</v>
      </c>
      <c r="L13" s="2">
        <v>-9.0600000000000007E-5</v>
      </c>
      <c r="M13" s="2">
        <v>0.15029999999999999</v>
      </c>
      <c r="N13" s="2">
        <v>1.7649999999999999E-11</v>
      </c>
      <c r="O13" s="1">
        <f t="shared" si="3"/>
        <v>-37.052804540912</v>
      </c>
      <c r="P13" s="1">
        <f t="shared" si="4"/>
        <v>6.728346695980694E-6</v>
      </c>
      <c r="Q13" s="1">
        <f t="shared" si="5"/>
        <v>-37.052811269258697</v>
      </c>
    </row>
    <row r="14" spans="1:19" x14ac:dyDescent="0.3">
      <c r="A14" s="2"/>
      <c r="B14" s="2">
        <v>0.13</v>
      </c>
      <c r="C14" s="2">
        <v>-9.8129999999999997E-5</v>
      </c>
      <c r="D14" s="2">
        <v>0.1628</v>
      </c>
      <c r="E14" s="2">
        <v>1.512E-12</v>
      </c>
      <c r="F14" s="1">
        <f t="shared" si="0"/>
        <v>-37.047189733846551</v>
      </c>
      <c r="G14" s="1">
        <f t="shared" si="1"/>
        <v>5.3213279252936404E-7</v>
      </c>
      <c r="H14" s="1">
        <f t="shared" si="2"/>
        <v>-37.047190265979346</v>
      </c>
      <c r="I14" s="3"/>
      <c r="K14" s="2">
        <v>0.13</v>
      </c>
      <c r="L14" s="2">
        <v>-9.8129999999999997E-5</v>
      </c>
      <c r="M14" s="2">
        <v>0.1628</v>
      </c>
      <c r="N14" s="2">
        <v>2.27E-11</v>
      </c>
      <c r="O14" s="1">
        <f t="shared" si="3"/>
        <v>-37.047189733846551</v>
      </c>
      <c r="P14" s="1">
        <f t="shared" si="4"/>
        <v>7.9890306814923869E-6</v>
      </c>
      <c r="Q14" s="1">
        <f t="shared" si="5"/>
        <v>-37.047197722877236</v>
      </c>
    </row>
    <row r="15" spans="1:19" x14ac:dyDescent="0.3">
      <c r="A15" s="2"/>
      <c r="B15" s="2">
        <v>0.14000000000000001</v>
      </c>
      <c r="C15" s="2">
        <v>-1.0569999999999999E-4</v>
      </c>
      <c r="D15" s="2">
        <v>0.1754</v>
      </c>
      <c r="E15" s="2">
        <v>1.568E-12</v>
      </c>
      <c r="F15" s="1">
        <f t="shared" si="0"/>
        <v>-37.052804540912</v>
      </c>
      <c r="G15" s="1">
        <f t="shared" si="1"/>
        <v>5.1219944285355228E-7</v>
      </c>
      <c r="H15" s="1">
        <f t="shared" si="2"/>
        <v>-37.052805053111442</v>
      </c>
      <c r="I15" s="3"/>
      <c r="K15" s="2">
        <v>0.14000000000000001</v>
      </c>
      <c r="L15" s="2">
        <v>-1.0569999999999999E-4</v>
      </c>
      <c r="M15" s="2">
        <v>0.1754</v>
      </c>
      <c r="N15" s="2">
        <v>2.913E-11</v>
      </c>
      <c r="O15" s="1">
        <f t="shared" si="3"/>
        <v>-37.052804540912</v>
      </c>
      <c r="P15" s="1">
        <f t="shared" si="4"/>
        <v>9.5155419453595924E-6</v>
      </c>
      <c r="Q15" s="1">
        <f t="shared" si="5"/>
        <v>-37.052814056453947</v>
      </c>
    </row>
    <row r="16" spans="1:19" x14ac:dyDescent="0.3">
      <c r="A16" s="2"/>
      <c r="B16" s="2">
        <v>0.15</v>
      </c>
      <c r="C16" s="2">
        <v>-1.132E-4</v>
      </c>
      <c r="D16" s="2">
        <v>0.18790000000000001</v>
      </c>
      <c r="E16" s="2">
        <v>1.6230000000000001E-12</v>
      </c>
      <c r="F16" s="1">
        <f t="shared" si="0"/>
        <v>-37.040638075551414</v>
      </c>
      <c r="G16" s="1">
        <f t="shared" si="1"/>
        <v>4.9489648829022142E-7</v>
      </c>
      <c r="H16" s="1">
        <f t="shared" si="2"/>
        <v>-37.040638570447904</v>
      </c>
      <c r="I16" s="3"/>
      <c r="K16" s="2">
        <v>0.15</v>
      </c>
      <c r="L16" s="2">
        <v>-1.132E-4</v>
      </c>
      <c r="M16" s="2">
        <v>0.18790000000000001</v>
      </c>
      <c r="N16" s="2">
        <v>3.732E-11</v>
      </c>
      <c r="O16" s="1">
        <f t="shared" si="3"/>
        <v>-37.040638075551414</v>
      </c>
      <c r="P16" s="1">
        <f t="shared" si="4"/>
        <v>1.1379874887856327E-5</v>
      </c>
      <c r="Q16" s="1">
        <f t="shared" si="5"/>
        <v>-37.040649455426305</v>
      </c>
    </row>
    <row r="17" spans="1:17" x14ac:dyDescent="0.3">
      <c r="A17" s="2"/>
      <c r="B17" s="2">
        <v>0.16</v>
      </c>
      <c r="C17" s="2">
        <v>-1.2070000000000001E-4</v>
      </c>
      <c r="D17" s="2">
        <v>0.20039999999999999</v>
      </c>
      <c r="E17" s="2">
        <v>1.6759999999999999E-12</v>
      </c>
      <c r="F17" s="1">
        <f t="shared" si="0"/>
        <v>-37.029989218682658</v>
      </c>
      <c r="G17" s="1">
        <f t="shared" si="1"/>
        <v>4.7918027177607775E-7</v>
      </c>
      <c r="H17" s="1">
        <f t="shared" si="2"/>
        <v>-37.029989697862931</v>
      </c>
      <c r="I17" s="3"/>
      <c r="K17" s="2">
        <v>0.16</v>
      </c>
      <c r="L17" s="2">
        <v>-1.2070000000000001E-4</v>
      </c>
      <c r="M17" s="2">
        <v>0.20039999999999999</v>
      </c>
      <c r="N17" s="2">
        <v>4.777E-11</v>
      </c>
      <c r="O17" s="1">
        <f t="shared" si="3"/>
        <v>-37.029989218682658</v>
      </c>
      <c r="P17" s="1">
        <f t="shared" si="4"/>
        <v>1.3657781373951549E-5</v>
      </c>
      <c r="Q17" s="1">
        <f t="shared" si="5"/>
        <v>-37.030002876464032</v>
      </c>
    </row>
    <row r="18" spans="1:17" x14ac:dyDescent="0.3">
      <c r="A18" s="2"/>
      <c r="B18" s="2">
        <v>0.17</v>
      </c>
      <c r="C18" s="2">
        <v>-1.283E-4</v>
      </c>
      <c r="D18" s="2">
        <v>0.21290000000000001</v>
      </c>
      <c r="E18" s="2">
        <v>1.729E-12</v>
      </c>
      <c r="F18" s="1">
        <f t="shared" si="0"/>
        <v>-37.042069626855223</v>
      </c>
      <c r="G18" s="1">
        <f t="shared" si="1"/>
        <v>4.6530954804189449E-7</v>
      </c>
      <c r="H18" s="1">
        <f t="shared" si="2"/>
        <v>-37.042070092164771</v>
      </c>
      <c r="I18" s="3"/>
      <c r="K18" s="2">
        <v>0.17</v>
      </c>
      <c r="L18" s="2">
        <v>-1.283E-4</v>
      </c>
      <c r="M18" s="2">
        <v>0.21290000000000001</v>
      </c>
      <c r="N18" s="2">
        <v>6.1100000000000001E-11</v>
      </c>
      <c r="O18" s="1">
        <f t="shared" si="3"/>
        <v>-37.042069626855223</v>
      </c>
      <c r="P18" s="1">
        <f t="shared" si="4"/>
        <v>1.6443269742833411E-5</v>
      </c>
      <c r="Q18" s="1">
        <f t="shared" si="5"/>
        <v>-37.042086070124967</v>
      </c>
    </row>
    <row r="19" spans="1:17" x14ac:dyDescent="0.3">
      <c r="A19" s="2"/>
      <c r="B19" s="2">
        <v>0.18</v>
      </c>
      <c r="C19" s="2">
        <v>-1.3579999999999999E-4</v>
      </c>
      <c r="D19" s="2">
        <v>0.22539999999999999</v>
      </c>
      <c r="E19" s="2">
        <v>1.7800000000000001E-12</v>
      </c>
      <c r="F19" s="1">
        <f t="shared" si="0"/>
        <v>-37.0325249316965</v>
      </c>
      <c r="G19" s="1">
        <f t="shared" si="1"/>
        <v>4.5246888879009112E-7</v>
      </c>
      <c r="H19" s="1">
        <f t="shared" si="2"/>
        <v>-37.032525384165389</v>
      </c>
      <c r="I19" s="3"/>
      <c r="K19" s="2">
        <v>0.18</v>
      </c>
      <c r="L19" s="2">
        <v>-1.3579999999999999E-4</v>
      </c>
      <c r="M19" s="2">
        <v>0.22539999999999999</v>
      </c>
      <c r="N19" s="2">
        <v>7.8089999999999999E-11</v>
      </c>
      <c r="O19" s="1">
        <f t="shared" si="3"/>
        <v>-37.0325249316965</v>
      </c>
      <c r="P19" s="1">
        <f t="shared" si="4"/>
        <v>1.9850166025627418E-5</v>
      </c>
      <c r="Q19" s="1">
        <f t="shared" si="5"/>
        <v>-37.032544781862526</v>
      </c>
    </row>
    <row r="20" spans="1:17" x14ac:dyDescent="0.3">
      <c r="A20" s="2"/>
      <c r="B20" s="2">
        <v>0.19</v>
      </c>
      <c r="C20" s="2">
        <v>-1.4329999999999999E-4</v>
      </c>
      <c r="D20" s="2">
        <v>0.23799999999999999</v>
      </c>
      <c r="E20" s="2">
        <v>1.8319999999999999E-12</v>
      </c>
      <c r="F20" s="1">
        <f t="shared" si="0"/>
        <v>-37.023982907156331</v>
      </c>
      <c r="G20" s="1">
        <f t="shared" si="1"/>
        <v>4.4103305910910431E-7</v>
      </c>
      <c r="H20" s="1">
        <f t="shared" si="2"/>
        <v>-37.02398334818939</v>
      </c>
      <c r="K20" s="2">
        <v>0.19</v>
      </c>
      <c r="L20" s="2">
        <v>-1.4329999999999999E-4</v>
      </c>
      <c r="M20" s="2">
        <v>0.23799999999999999</v>
      </c>
      <c r="N20" s="2">
        <v>9.976E-11</v>
      </c>
      <c r="O20" s="1">
        <f t="shared" si="3"/>
        <v>-37.023982907156331</v>
      </c>
      <c r="P20" s="1">
        <f t="shared" si="4"/>
        <v>2.401607968161663E-5</v>
      </c>
      <c r="Q20" s="1">
        <f t="shared" si="5"/>
        <v>-37.024006923236016</v>
      </c>
    </row>
    <row r="21" spans="1:17" x14ac:dyDescent="0.3">
      <c r="A21" s="2"/>
      <c r="B21" s="2">
        <v>0.2</v>
      </c>
      <c r="C21" s="2">
        <v>-1.5090000000000001E-4</v>
      </c>
      <c r="D21" s="2">
        <v>0.2505</v>
      </c>
      <c r="E21" s="2">
        <v>1.883E-12</v>
      </c>
      <c r="F21" s="1">
        <f t="shared" si="0"/>
        <v>-37.034553380197522</v>
      </c>
      <c r="G21" s="1">
        <f t="shared" si="1"/>
        <v>4.3069043043167268E-7</v>
      </c>
      <c r="H21" s="1">
        <f t="shared" si="2"/>
        <v>-37.03455381088795</v>
      </c>
      <c r="K21" s="2">
        <v>0.2</v>
      </c>
      <c r="L21" s="2">
        <v>-1.5090000000000001E-4</v>
      </c>
      <c r="M21" s="2">
        <v>0.2505</v>
      </c>
      <c r="N21" s="2">
        <v>1.2739999999999999E-10</v>
      </c>
      <c r="O21" s="1">
        <f t="shared" si="3"/>
        <v>-37.034553380197522</v>
      </c>
      <c r="P21" s="1">
        <f t="shared" si="4"/>
        <v>2.9139649939984261E-5</v>
      </c>
      <c r="Q21" s="1">
        <f t="shared" si="5"/>
        <v>-37.034582519847461</v>
      </c>
    </row>
    <row r="22" spans="1:17" x14ac:dyDescent="0.3">
      <c r="A22" s="2"/>
      <c r="B22" s="2">
        <v>0.21</v>
      </c>
      <c r="C22" s="2">
        <v>-1.584E-4</v>
      </c>
      <c r="D22" s="2">
        <v>0.26300000000000001</v>
      </c>
      <c r="E22" s="2">
        <v>1.934E-12</v>
      </c>
      <c r="F22" s="1">
        <f t="shared" si="0"/>
        <v>-37.026728767429638</v>
      </c>
      <c r="G22" s="1">
        <f t="shared" si="1"/>
        <v>4.2133094136236202E-7</v>
      </c>
      <c r="H22" s="1">
        <f t="shared" si="2"/>
        <v>-37.026729188760577</v>
      </c>
      <c r="K22" s="2">
        <v>0.21</v>
      </c>
      <c r="L22" s="2">
        <v>-1.584E-4</v>
      </c>
      <c r="M22" s="2">
        <v>0.26300000000000001</v>
      </c>
      <c r="N22" s="2">
        <v>1.6269999999999999E-10</v>
      </c>
      <c r="O22" s="1">
        <f t="shared" si="3"/>
        <v>-37.026728767429638</v>
      </c>
      <c r="P22" s="1">
        <f t="shared" si="4"/>
        <v>3.5444955615122828E-5</v>
      </c>
      <c r="Q22" s="1">
        <f t="shared" si="5"/>
        <v>-37.026764212385253</v>
      </c>
    </row>
    <row r="23" spans="1:17" x14ac:dyDescent="0.3">
      <c r="A23" s="2"/>
      <c r="B23" s="2">
        <v>0.22</v>
      </c>
      <c r="C23" s="2">
        <v>-1.6589999999999999E-4</v>
      </c>
      <c r="D23" s="2">
        <v>0.27550000000000002</v>
      </c>
      <c r="E23" s="2">
        <v>1.984E-12</v>
      </c>
      <c r="F23" s="1">
        <f t="shared" si="0"/>
        <v>-37.019614083956796</v>
      </c>
      <c r="G23" s="1">
        <f t="shared" si="1"/>
        <v>4.1261280055882155E-7</v>
      </c>
      <c r="H23" s="1">
        <f t="shared" si="2"/>
        <v>-37.019614496569595</v>
      </c>
      <c r="K23" s="2">
        <v>0.22</v>
      </c>
      <c r="L23" s="2">
        <v>-1.6589999999999999E-4</v>
      </c>
      <c r="M23" s="2">
        <v>0.27550000000000002</v>
      </c>
      <c r="N23" s="2">
        <v>2.0769999999999999E-10</v>
      </c>
      <c r="O23" s="1">
        <f t="shared" si="3"/>
        <v>-37.019614083956796</v>
      </c>
      <c r="P23" s="1">
        <f t="shared" si="4"/>
        <v>4.3195402558493439E-5</v>
      </c>
      <c r="Q23" s="1">
        <f t="shared" si="5"/>
        <v>-37.019657279359357</v>
      </c>
    </row>
    <row r="24" spans="1:17" x14ac:dyDescent="0.3">
      <c r="A24" s="2"/>
      <c r="B24" s="2">
        <v>0.23</v>
      </c>
      <c r="C24" s="2">
        <v>-1.7349999999999999E-4</v>
      </c>
      <c r="D24" s="2">
        <v>0.28799999999999998</v>
      </c>
      <c r="E24" s="2">
        <v>2.0350000000000001E-12</v>
      </c>
      <c r="F24" s="1">
        <f t="shared" si="0"/>
        <v>-37.028996937063347</v>
      </c>
      <c r="G24" s="1">
        <f t="shared" si="1"/>
        <v>4.0485038649000882E-7</v>
      </c>
      <c r="H24" s="1">
        <f t="shared" si="2"/>
        <v>-37.028997341913737</v>
      </c>
      <c r="K24" s="2">
        <v>0.23</v>
      </c>
      <c r="L24" s="2">
        <v>-1.7349999999999999E-4</v>
      </c>
      <c r="M24" s="2">
        <v>0.28799999999999998</v>
      </c>
      <c r="N24" s="2">
        <v>2.6509999999999999E-10</v>
      </c>
      <c r="O24" s="1">
        <f t="shared" si="3"/>
        <v>-37.028996937063347</v>
      </c>
      <c r="P24" s="1">
        <f t="shared" si="4"/>
        <v>5.2739969267061928E-5</v>
      </c>
      <c r="Q24" s="1">
        <f t="shared" si="5"/>
        <v>-37.029049677032617</v>
      </c>
    </row>
    <row r="25" spans="1:17" x14ac:dyDescent="0.3">
      <c r="A25" s="2"/>
      <c r="B25" s="2">
        <v>0.24</v>
      </c>
      <c r="C25" s="2">
        <v>-1.8100000000000001E-4</v>
      </c>
      <c r="D25" s="2">
        <v>0.30059999999999998</v>
      </c>
      <c r="E25" s="2">
        <v>2.0860000000000002E-12</v>
      </c>
      <c r="F25" s="1">
        <f t="shared" si="0"/>
        <v>-37.022381063656567</v>
      </c>
      <c r="G25" s="1">
        <f t="shared" si="1"/>
        <v>3.976014506463398E-7</v>
      </c>
      <c r="H25" s="1">
        <f t="shared" si="2"/>
        <v>-37.022381461258021</v>
      </c>
      <c r="K25" s="2">
        <v>0.24</v>
      </c>
      <c r="L25" s="2">
        <v>-1.8100000000000001E-4</v>
      </c>
      <c r="M25" s="2">
        <v>0.30059999999999998</v>
      </c>
      <c r="N25" s="2">
        <v>3.3830000000000001E-10</v>
      </c>
      <c r="O25" s="1">
        <f t="shared" si="3"/>
        <v>-37.022381063656567</v>
      </c>
      <c r="P25" s="1">
        <f t="shared" si="4"/>
        <v>6.4481577542473611E-5</v>
      </c>
      <c r="Q25" s="1">
        <f t="shared" si="5"/>
        <v>-37.022445545234113</v>
      </c>
    </row>
    <row r="26" spans="1:17" x14ac:dyDescent="0.3">
      <c r="A26" s="2"/>
      <c r="B26" s="2">
        <v>0.25</v>
      </c>
      <c r="C26" s="2">
        <v>-1.886E-4</v>
      </c>
      <c r="D26" s="2">
        <v>0.31309999999999999</v>
      </c>
      <c r="E26" s="2">
        <v>2.1369999999999999E-12</v>
      </c>
      <c r="F26" s="1">
        <f t="shared" si="0"/>
        <v>-37.030902094873639</v>
      </c>
      <c r="G26" s="1">
        <f t="shared" si="1"/>
        <v>3.910606222275852E-7</v>
      </c>
      <c r="H26" s="1">
        <f t="shared" si="2"/>
        <v>-37.030902485934263</v>
      </c>
      <c r="K26" s="2">
        <v>0.25</v>
      </c>
      <c r="L26" s="2">
        <v>-1.886E-4</v>
      </c>
      <c r="M26" s="2">
        <v>0.31309999999999999</v>
      </c>
      <c r="N26" s="2">
        <v>4.318E-10</v>
      </c>
      <c r="O26" s="1">
        <f t="shared" si="3"/>
        <v>-37.030902094873639</v>
      </c>
      <c r="P26" s="1">
        <f t="shared" si="4"/>
        <v>7.9017303078036618E-5</v>
      </c>
      <c r="Q26" s="1">
        <f t="shared" si="5"/>
        <v>-37.030981112176718</v>
      </c>
    </row>
    <row r="27" spans="1:17" x14ac:dyDescent="0.3">
      <c r="A27" s="2"/>
      <c r="B27" s="2">
        <v>0.26</v>
      </c>
      <c r="C27" s="2">
        <v>-1.961E-4</v>
      </c>
      <c r="D27" s="2">
        <v>0.3256</v>
      </c>
      <c r="E27" s="2">
        <v>2.188E-12</v>
      </c>
      <c r="F27" s="1">
        <f t="shared" si="0"/>
        <v>-37.024722196757793</v>
      </c>
      <c r="G27" s="1">
        <f t="shared" si="1"/>
        <v>3.8502200729307162E-7</v>
      </c>
      <c r="H27" s="1">
        <f t="shared" si="2"/>
        <v>-37.024722581779798</v>
      </c>
      <c r="K27" s="2">
        <v>0.26</v>
      </c>
      <c r="L27" s="2">
        <v>-1.961E-4</v>
      </c>
      <c r="M27" s="2">
        <v>0.3256</v>
      </c>
      <c r="N27" s="2">
        <v>5.5099999999999996E-10</v>
      </c>
      <c r="O27" s="1">
        <f t="shared" si="3"/>
        <v>-37.024722196757793</v>
      </c>
      <c r="P27" s="1">
        <f t="shared" si="4"/>
        <v>9.6959381178372914E-5</v>
      </c>
      <c r="Q27" s="1">
        <f t="shared" si="5"/>
        <v>-37.024819156138975</v>
      </c>
    </row>
    <row r="28" spans="1:17" x14ac:dyDescent="0.3">
      <c r="A28" s="2"/>
      <c r="B28" s="2">
        <v>0.27</v>
      </c>
      <c r="C28" s="2">
        <v>-2.0359999999999999E-4</v>
      </c>
      <c r="D28" s="2">
        <v>0.33810000000000001</v>
      </c>
      <c r="E28" s="2">
        <v>2.2390000000000001E-12</v>
      </c>
      <c r="F28" s="1">
        <f t="shared" si="0"/>
        <v>-37.018999172208915</v>
      </c>
      <c r="G28" s="1">
        <f t="shared" si="1"/>
        <v>3.7942990337116631E-7</v>
      </c>
      <c r="H28" s="1">
        <f t="shared" si="2"/>
        <v>-37.018999551638821</v>
      </c>
      <c r="K28" s="2">
        <v>0.27</v>
      </c>
      <c r="L28" s="2">
        <v>-2.0359999999999999E-4</v>
      </c>
      <c r="M28" s="2">
        <v>0.33810000000000001</v>
      </c>
      <c r="N28" s="2">
        <v>7.0309999999999998E-10</v>
      </c>
      <c r="O28" s="1">
        <f t="shared" si="3"/>
        <v>-37.018999172208915</v>
      </c>
      <c r="P28" s="1">
        <f t="shared" si="4"/>
        <v>1.1915014071455224E-4</v>
      </c>
      <c r="Q28" s="1">
        <f t="shared" si="5"/>
        <v>-37.019118322349627</v>
      </c>
    </row>
    <row r="29" spans="1:17" x14ac:dyDescent="0.3">
      <c r="A29" s="2"/>
      <c r="B29" s="2">
        <v>0.28000000000000003</v>
      </c>
      <c r="C29" s="2">
        <v>-2.1120000000000001E-4</v>
      </c>
      <c r="D29" s="2">
        <v>0.35070000000000001</v>
      </c>
      <c r="E29" s="2">
        <v>2.2900000000000001E-12</v>
      </c>
      <c r="F29" s="1">
        <f t="shared" si="0"/>
        <v>-37.026728767429638</v>
      </c>
      <c r="G29" s="1">
        <f t="shared" si="1"/>
        <v>3.7412984056161543E-7</v>
      </c>
      <c r="H29" s="1">
        <f t="shared" si="2"/>
        <v>-37.026729141559478</v>
      </c>
      <c r="K29" s="2">
        <v>0.28000000000000003</v>
      </c>
      <c r="L29" s="2">
        <v>-2.1120000000000001E-4</v>
      </c>
      <c r="M29" s="2">
        <v>0.35070000000000001</v>
      </c>
      <c r="N29" s="2">
        <v>8.9729999999999999E-10</v>
      </c>
      <c r="O29" s="1">
        <f t="shared" si="3"/>
        <v>-37.026728767429638</v>
      </c>
      <c r="P29" s="1">
        <f t="shared" si="4"/>
        <v>1.4659681481886679E-4</v>
      </c>
      <c r="Q29" s="1">
        <f t="shared" si="5"/>
        <v>-37.026875364244454</v>
      </c>
    </row>
    <row r="30" spans="1:17" x14ac:dyDescent="0.3">
      <c r="A30" s="2"/>
      <c r="B30" s="2">
        <v>0.28999999999999998</v>
      </c>
      <c r="C30" s="2">
        <v>-2.187E-4</v>
      </c>
      <c r="D30" s="2">
        <v>0.36320000000000002</v>
      </c>
      <c r="E30" s="2">
        <v>2.3409999999999998E-12</v>
      </c>
      <c r="F30" s="1">
        <f t="shared" si="0"/>
        <v>-37.021331543357348</v>
      </c>
      <c r="G30" s="1">
        <f t="shared" si="1"/>
        <v>3.692990634364694E-7</v>
      </c>
      <c r="H30" s="1">
        <f t="shared" si="2"/>
        <v>-37.021331912656414</v>
      </c>
      <c r="K30" s="2">
        <v>0.28999999999999998</v>
      </c>
      <c r="L30" s="2">
        <v>-2.187E-4</v>
      </c>
      <c r="M30" s="2">
        <v>0.36320000000000002</v>
      </c>
      <c r="N30" s="2">
        <v>1.1450000000000001E-9</v>
      </c>
      <c r="O30" s="1">
        <f t="shared" si="3"/>
        <v>-37.021331543357348</v>
      </c>
      <c r="P30" s="1">
        <f t="shared" si="4"/>
        <v>1.8062683794675639E-4</v>
      </c>
      <c r="Q30" s="1">
        <f t="shared" si="5"/>
        <v>-37.021512170195294</v>
      </c>
    </row>
    <row r="31" spans="1:17" x14ac:dyDescent="0.3">
      <c r="A31" s="2"/>
      <c r="B31" s="2">
        <v>0.3</v>
      </c>
      <c r="C31" s="2">
        <v>-2.262E-4</v>
      </c>
      <c r="D31" s="2">
        <v>0.37569999999999998</v>
      </c>
      <c r="E31" s="2">
        <v>2.393E-12</v>
      </c>
      <c r="F31" s="1">
        <f t="shared" si="0"/>
        <v>-37.016293442275277</v>
      </c>
      <c r="G31" s="1">
        <f t="shared" si="1"/>
        <v>3.6494224214747407E-7</v>
      </c>
      <c r="H31" s="1">
        <f t="shared" si="2"/>
        <v>-37.016293807217522</v>
      </c>
      <c r="K31" s="2">
        <v>0.3</v>
      </c>
      <c r="L31" s="2">
        <v>-2.262E-4</v>
      </c>
      <c r="M31" s="2">
        <v>0.37569999999999998</v>
      </c>
      <c r="N31" s="2">
        <v>1.461E-9</v>
      </c>
      <c r="O31" s="1">
        <f t="shared" si="3"/>
        <v>-37.016293442275277</v>
      </c>
      <c r="P31" s="1">
        <f t="shared" si="4"/>
        <v>2.2280844787913581E-4</v>
      </c>
      <c r="Q31" s="1">
        <f t="shared" si="5"/>
        <v>-37.016516250723157</v>
      </c>
    </row>
    <row r="32" spans="1:17" x14ac:dyDescent="0.3">
      <c r="A32" s="2"/>
      <c r="B32" s="2">
        <v>0.31</v>
      </c>
      <c r="C32" s="2">
        <v>-2.3379999999999999E-4</v>
      </c>
      <c r="D32" s="2">
        <v>0.38819999999999999</v>
      </c>
      <c r="E32" s="2">
        <v>2.4450000000000002E-12</v>
      </c>
      <c r="F32" s="1">
        <f t="shared" si="0"/>
        <v>-37.023362846718058</v>
      </c>
      <c r="G32" s="1">
        <f t="shared" si="1"/>
        <v>3.6086599925163911E-7</v>
      </c>
      <c r="H32" s="1">
        <f t="shared" si="2"/>
        <v>-37.023363207584055</v>
      </c>
      <c r="K32" s="2">
        <v>0.31</v>
      </c>
      <c r="L32" s="2">
        <v>-2.3379999999999999E-4</v>
      </c>
      <c r="M32" s="2">
        <v>0.38819999999999999</v>
      </c>
      <c r="N32" s="2">
        <v>1.8640000000000002E-9</v>
      </c>
      <c r="O32" s="1">
        <f t="shared" si="3"/>
        <v>-37.023362846718058</v>
      </c>
      <c r="P32" s="1">
        <f t="shared" si="4"/>
        <v>2.7511420147234594E-4</v>
      </c>
      <c r="Q32" s="1">
        <f t="shared" si="5"/>
        <v>-37.02363796091953</v>
      </c>
    </row>
    <row r="33" spans="1:17" x14ac:dyDescent="0.3">
      <c r="A33" s="2"/>
      <c r="B33" s="2">
        <v>0.32</v>
      </c>
      <c r="C33" s="2">
        <v>-2.4130000000000001E-4</v>
      </c>
      <c r="D33" s="2">
        <v>0.4007</v>
      </c>
      <c r="E33" s="2">
        <v>2.4959999999999999E-12</v>
      </c>
      <c r="F33" s="1">
        <f t="shared" si="0"/>
        <v>-37.018576414608752</v>
      </c>
      <c r="G33" s="1">
        <f t="shared" si="1"/>
        <v>3.5690108725893061E-7</v>
      </c>
      <c r="H33" s="1">
        <f t="shared" si="2"/>
        <v>-37.018576771509842</v>
      </c>
      <c r="K33" s="2">
        <v>0.32</v>
      </c>
      <c r="L33" s="2">
        <v>-2.4130000000000001E-4</v>
      </c>
      <c r="M33" s="2">
        <v>0.4007</v>
      </c>
      <c r="N33" s="2">
        <v>2.3790000000000002E-9</v>
      </c>
      <c r="O33" s="1">
        <f t="shared" si="3"/>
        <v>-37.018576414608752</v>
      </c>
      <c r="P33" s="1">
        <f t="shared" si="4"/>
        <v>3.4017134878967125E-4</v>
      </c>
      <c r="Q33" s="1">
        <f t="shared" si="5"/>
        <v>-37.018916585957541</v>
      </c>
    </row>
    <row r="34" spans="1:17" x14ac:dyDescent="0.3">
      <c r="A34" s="2"/>
      <c r="B34" s="2">
        <v>0.33</v>
      </c>
      <c r="C34" s="2">
        <v>-2.4879999999999998E-4</v>
      </c>
      <c r="D34" s="2">
        <v>0.4133</v>
      </c>
      <c r="E34" s="2">
        <v>2.548E-12</v>
      </c>
      <c r="F34" s="1">
        <f t="shared" si="0"/>
        <v>-37.014079519909508</v>
      </c>
      <c r="G34" s="1">
        <f t="shared" si="1"/>
        <v>3.5322924316315935E-7</v>
      </c>
      <c r="H34" s="1">
        <f t="shared" si="2"/>
        <v>-37.014079873138748</v>
      </c>
      <c r="K34" s="2">
        <v>0.33</v>
      </c>
      <c r="L34" s="2">
        <v>-2.4879999999999998E-4</v>
      </c>
      <c r="M34" s="2">
        <v>0.4133</v>
      </c>
      <c r="N34" s="2">
        <v>3.0359999999999999E-9</v>
      </c>
      <c r="O34" s="1">
        <f t="shared" si="3"/>
        <v>-37.014079519909508</v>
      </c>
      <c r="P34" s="1">
        <f t="shared" si="4"/>
        <v>4.2088068376140605E-4</v>
      </c>
      <c r="Q34" s="1">
        <f t="shared" si="5"/>
        <v>-37.014500400593271</v>
      </c>
    </row>
    <row r="35" spans="1:17" x14ac:dyDescent="0.3">
      <c r="A35" s="2"/>
      <c r="B35" s="2">
        <v>0.34</v>
      </c>
      <c r="C35" s="2">
        <v>-2.564E-4</v>
      </c>
      <c r="D35" s="2">
        <v>0.42580000000000001</v>
      </c>
      <c r="E35" s="2">
        <v>2.5999999999999998E-12</v>
      </c>
      <c r="F35" s="1">
        <f t="shared" si="0"/>
        <v>-37.02059068804077</v>
      </c>
      <c r="G35" s="1">
        <f t="shared" si="1"/>
        <v>3.4985680303901834E-7</v>
      </c>
      <c r="H35" s="1">
        <f t="shared" si="2"/>
        <v>-37.020591037897574</v>
      </c>
      <c r="K35" s="2">
        <v>0.34</v>
      </c>
      <c r="L35" s="2">
        <v>-2.564E-4</v>
      </c>
      <c r="M35" s="2">
        <v>0.42580000000000001</v>
      </c>
      <c r="N35" s="2">
        <v>3.8730000000000002E-9</v>
      </c>
      <c r="O35" s="1">
        <f t="shared" si="3"/>
        <v>-37.02059068804077</v>
      </c>
      <c r="P35" s="1">
        <f t="shared" si="4"/>
        <v>5.2115207620490403E-4</v>
      </c>
      <c r="Q35" s="1">
        <f t="shared" si="5"/>
        <v>-37.021111840116973</v>
      </c>
    </row>
    <row r="36" spans="1:17" x14ac:dyDescent="0.3">
      <c r="A36" s="2"/>
      <c r="B36" s="2">
        <v>0.35</v>
      </c>
      <c r="C36" s="2">
        <v>-2.6390000000000002E-4</v>
      </c>
      <c r="D36" s="2">
        <v>0.43830000000000002</v>
      </c>
      <c r="E36" s="2">
        <v>2.6530000000000001E-12</v>
      </c>
      <c r="F36" s="1">
        <f t="shared" si="0"/>
        <v>-37.016293442275277</v>
      </c>
      <c r="G36" s="1">
        <f t="shared" si="1"/>
        <v>3.4680744478258593E-7</v>
      </c>
      <c r="H36" s="1">
        <f t="shared" si="2"/>
        <v>-37.016293789082724</v>
      </c>
      <c r="K36" s="2">
        <v>0.35</v>
      </c>
      <c r="L36" s="2">
        <v>-2.6390000000000002E-4</v>
      </c>
      <c r="M36" s="2">
        <v>0.43830000000000002</v>
      </c>
      <c r="N36" s="2">
        <v>4.943E-9</v>
      </c>
      <c r="O36" s="1">
        <f t="shared" si="3"/>
        <v>-37.016293442275277</v>
      </c>
      <c r="P36" s="1">
        <f t="shared" si="4"/>
        <v>6.4616253278840751E-4</v>
      </c>
      <c r="Q36" s="1">
        <f t="shared" si="5"/>
        <v>-37.016939604808066</v>
      </c>
    </row>
    <row r="37" spans="1:17" x14ac:dyDescent="0.3">
      <c r="A37" s="2"/>
      <c r="B37" s="2">
        <v>0.36</v>
      </c>
      <c r="C37" s="2">
        <v>-2.7139999999999998E-4</v>
      </c>
      <c r="D37" s="2">
        <v>0.45079999999999998</v>
      </c>
      <c r="E37" s="2">
        <v>2.7049999999999999E-12</v>
      </c>
      <c r="F37" s="1">
        <f t="shared" si="0"/>
        <v>-37.012234486062297</v>
      </c>
      <c r="G37" s="1">
        <f t="shared" si="1"/>
        <v>3.4380009667898778E-7</v>
      </c>
      <c r="H37" s="1">
        <f t="shared" si="2"/>
        <v>-37.012234829862393</v>
      </c>
      <c r="K37" s="2">
        <v>0.36</v>
      </c>
      <c r="L37" s="2">
        <v>-2.7139999999999998E-4</v>
      </c>
      <c r="M37" s="2">
        <v>0.45079999999999998</v>
      </c>
      <c r="N37" s="2">
        <v>6.3069999999999998E-9</v>
      </c>
      <c r="O37" s="1">
        <f t="shared" si="3"/>
        <v>-37.012234486062297</v>
      </c>
      <c r="P37" s="1">
        <f t="shared" si="4"/>
        <v>8.0160710152048025E-4</v>
      </c>
      <c r="Q37" s="1">
        <f t="shared" si="5"/>
        <v>-37.013036093163819</v>
      </c>
    </row>
    <row r="38" spans="1:17" x14ac:dyDescent="0.3">
      <c r="A38" s="2"/>
      <c r="B38" s="2">
        <v>0.37</v>
      </c>
      <c r="C38" s="2">
        <v>-2.7900000000000001E-4</v>
      </c>
      <c r="D38" s="2">
        <v>0.46329999999999999</v>
      </c>
      <c r="E38" s="2">
        <v>2.7580000000000002E-12</v>
      </c>
      <c r="F38" s="1">
        <f t="shared" si="0"/>
        <v>-37.018267912850412</v>
      </c>
      <c r="G38" s="1">
        <f t="shared" si="1"/>
        <v>3.4107869608694382E-7</v>
      </c>
      <c r="H38" s="1">
        <f t="shared" si="2"/>
        <v>-37.018268253929108</v>
      </c>
      <c r="K38" s="2">
        <v>0.37</v>
      </c>
      <c r="L38" s="2">
        <v>-2.7900000000000001E-4</v>
      </c>
      <c r="M38" s="2">
        <v>0.46329999999999999</v>
      </c>
      <c r="N38" s="2">
        <v>8.0469999999999992E-9</v>
      </c>
      <c r="O38" s="1">
        <f t="shared" si="3"/>
        <v>-37.018267912850412</v>
      </c>
      <c r="P38" s="1">
        <f t="shared" si="4"/>
        <v>9.9516325856984595E-4</v>
      </c>
      <c r="Q38" s="1">
        <f t="shared" si="5"/>
        <v>-37.019263076108984</v>
      </c>
    </row>
    <row r="39" spans="1:17" x14ac:dyDescent="0.3">
      <c r="A39" s="2"/>
      <c r="B39" s="2">
        <v>0.38</v>
      </c>
      <c r="C39" s="2">
        <v>-2.8650000000000003E-4</v>
      </c>
      <c r="D39" s="2">
        <v>0.47589999999999999</v>
      </c>
      <c r="E39" s="2">
        <v>2.8099999999999999E-12</v>
      </c>
      <c r="F39" s="1">
        <f t="shared" si="0"/>
        <v>-37.014370832854077</v>
      </c>
      <c r="G39" s="1">
        <f t="shared" si="1"/>
        <v>3.383087632522827E-7</v>
      </c>
      <c r="H39" s="1">
        <f t="shared" si="2"/>
        <v>-37.014371171162843</v>
      </c>
      <c r="K39" s="2">
        <v>0.38</v>
      </c>
      <c r="L39" s="2">
        <v>-2.8650000000000003E-4</v>
      </c>
      <c r="M39" s="2">
        <v>0.47589999999999999</v>
      </c>
      <c r="N39" s="2">
        <v>1.027E-8</v>
      </c>
      <c r="O39" s="1">
        <f t="shared" si="3"/>
        <v>-37.014370832854077</v>
      </c>
      <c r="P39" s="1">
        <f t="shared" si="4"/>
        <v>1.2364523124774348E-3</v>
      </c>
      <c r="Q39" s="1">
        <f t="shared" si="5"/>
        <v>-37.015607285166553</v>
      </c>
    </row>
    <row r="40" spans="1:17" x14ac:dyDescent="0.3">
      <c r="A40" s="2"/>
      <c r="B40" s="2">
        <v>0.39</v>
      </c>
      <c r="C40" s="2">
        <v>-2.9409999999999999E-4</v>
      </c>
      <c r="D40" s="2">
        <v>0.4884</v>
      </c>
      <c r="E40" s="2">
        <v>2.8629999999999998E-12</v>
      </c>
      <c r="F40" s="1">
        <f t="shared" si="0"/>
        <v>-37.020039786259545</v>
      </c>
      <c r="G40" s="1">
        <f t="shared" si="1"/>
        <v>3.3586776565510788E-7</v>
      </c>
      <c r="H40" s="1">
        <f t="shared" si="2"/>
        <v>-37.020040122127313</v>
      </c>
      <c r="K40" s="2">
        <v>0.39</v>
      </c>
      <c r="L40" s="2">
        <v>-2.9399999999999999E-4</v>
      </c>
      <c r="M40" s="2">
        <v>0.4884</v>
      </c>
      <c r="N40" s="2">
        <v>1.31E-8</v>
      </c>
      <c r="O40" s="1">
        <f t="shared" si="3"/>
        <v>-37.010673233603107</v>
      </c>
      <c r="P40" s="1">
        <f t="shared" si="4"/>
        <v>1.5368032584794882E-3</v>
      </c>
      <c r="Q40" s="1">
        <f t="shared" si="5"/>
        <v>-37.012210036861589</v>
      </c>
    </row>
    <row r="41" spans="1:17" x14ac:dyDescent="0.3">
      <c r="A41" s="2"/>
      <c r="B41" s="2">
        <v>0.4</v>
      </c>
      <c r="C41" s="2">
        <v>-3.0160000000000001E-4</v>
      </c>
      <c r="D41" s="2">
        <v>0.50090000000000001</v>
      </c>
      <c r="E41" s="2">
        <v>2.9160000000000001E-12</v>
      </c>
      <c r="F41" s="1">
        <f t="shared" si="0"/>
        <v>-37.016293442275277</v>
      </c>
      <c r="G41" s="1">
        <f t="shared" si="1"/>
        <v>3.335485986427392E-7</v>
      </c>
      <c r="H41" s="1">
        <f t="shared" si="2"/>
        <v>-37.016293775823875</v>
      </c>
      <c r="K41" s="2">
        <v>0.4</v>
      </c>
      <c r="L41" s="2">
        <v>-3.0160000000000001E-4</v>
      </c>
      <c r="M41" s="2">
        <v>0.50090000000000001</v>
      </c>
      <c r="N41" s="2">
        <v>1.672E-8</v>
      </c>
      <c r="O41" s="1">
        <f t="shared" si="3"/>
        <v>-37.016293442275277</v>
      </c>
      <c r="P41" s="1">
        <f t="shared" si="4"/>
        <v>1.9125283152384399E-3</v>
      </c>
      <c r="Q41" s="1">
        <f t="shared" si="5"/>
        <v>-37.018205970590515</v>
      </c>
    </row>
    <row r="42" spans="1:17" x14ac:dyDescent="0.3">
      <c r="A42" s="2"/>
      <c r="B42" s="2">
        <v>0.41</v>
      </c>
      <c r="C42" s="2">
        <v>-3.0909999999999998E-4</v>
      </c>
      <c r="D42" s="2">
        <v>0.51339999999999997</v>
      </c>
      <c r="E42" s="2">
        <v>2.9700000000000001E-12</v>
      </c>
      <c r="F42" s="1">
        <f t="shared" si="0"/>
        <v>-37.012729503936619</v>
      </c>
      <c r="G42" s="1">
        <f t="shared" si="1"/>
        <v>3.3145396407061645E-7</v>
      </c>
      <c r="H42" s="1">
        <f t="shared" si="2"/>
        <v>-37.01272983539058</v>
      </c>
      <c r="K42" s="2">
        <v>0.41</v>
      </c>
      <c r="L42" s="2">
        <v>-3.0909999999999998E-4</v>
      </c>
      <c r="M42" s="2">
        <v>0.51339999999999997</v>
      </c>
      <c r="N42" s="2">
        <v>2.133E-8</v>
      </c>
      <c r="O42" s="1">
        <f t="shared" si="3"/>
        <v>-37.012729503936619</v>
      </c>
      <c r="P42" s="1">
        <f t="shared" si="4"/>
        <v>2.3804421042284245E-3</v>
      </c>
      <c r="Q42" s="1">
        <f t="shared" si="5"/>
        <v>-37.015109946040845</v>
      </c>
    </row>
    <row r="43" spans="1:17" x14ac:dyDescent="0.3">
      <c r="A43" s="2"/>
      <c r="B43" s="2">
        <v>0.42</v>
      </c>
      <c r="C43" s="2">
        <v>-3.167E-4</v>
      </c>
      <c r="D43" s="2">
        <v>0.52600000000000002</v>
      </c>
      <c r="E43" s="2">
        <v>3.0229999999999999E-12</v>
      </c>
      <c r="F43" s="1">
        <f t="shared" si="0"/>
        <v>-37.018032862210241</v>
      </c>
      <c r="G43" s="1">
        <f t="shared" si="1"/>
        <v>3.2928734119400733E-7</v>
      </c>
      <c r="H43" s="1">
        <f t="shared" si="2"/>
        <v>-37.01803319149758</v>
      </c>
      <c r="K43" s="2">
        <v>0.42</v>
      </c>
      <c r="L43" s="2">
        <v>-3.166E-4</v>
      </c>
      <c r="M43" s="2">
        <v>0.52590000000000003</v>
      </c>
      <c r="N43" s="2">
        <v>2.7220000000000002E-8</v>
      </c>
      <c r="O43" s="1">
        <f t="shared" si="3"/>
        <v>-37.009334966156402</v>
      </c>
      <c r="P43" s="1">
        <f t="shared" si="4"/>
        <v>2.9655659192876879E-3</v>
      </c>
      <c r="Q43" s="1">
        <f t="shared" si="5"/>
        <v>-37.012300532075692</v>
      </c>
    </row>
    <row r="44" spans="1:17" x14ac:dyDescent="0.3">
      <c r="A44" s="2"/>
      <c r="B44" s="2">
        <v>0.43</v>
      </c>
      <c r="C44" s="2">
        <v>-3.2420000000000002E-4</v>
      </c>
      <c r="D44" s="2">
        <v>0.53849999999999998</v>
      </c>
      <c r="E44" s="2">
        <v>3.0759999999999998E-12</v>
      </c>
      <c r="F44" s="1">
        <f t="shared" si="0"/>
        <v>-37.014594397087535</v>
      </c>
      <c r="G44" s="1">
        <f t="shared" si="1"/>
        <v>3.2728285567732819E-7</v>
      </c>
      <c r="H44" s="1">
        <f t="shared" si="2"/>
        <v>-37.01459472437039</v>
      </c>
      <c r="K44" s="2">
        <v>0.43</v>
      </c>
      <c r="L44" s="2">
        <v>-3.2410000000000002E-4</v>
      </c>
      <c r="M44" s="2">
        <v>0.53839999999999999</v>
      </c>
      <c r="N44" s="2">
        <v>3.4720000000000003E-8</v>
      </c>
      <c r="O44" s="1">
        <f t="shared" si="3"/>
        <v>-37.006098031454179</v>
      </c>
      <c r="P44" s="1">
        <f t="shared" si="4"/>
        <v>3.6948541269253791E-3</v>
      </c>
      <c r="Q44" s="1">
        <f t="shared" si="5"/>
        <v>-37.009792885581106</v>
      </c>
    </row>
    <row r="45" spans="1:17" x14ac:dyDescent="0.3">
      <c r="A45" s="2"/>
      <c r="B45" s="2">
        <v>0.44</v>
      </c>
      <c r="C45" s="2">
        <v>-3.3169999999999999E-4</v>
      </c>
      <c r="D45" s="2">
        <v>0.55100000000000005</v>
      </c>
      <c r="E45" s="2">
        <v>3.1300000000000002E-12</v>
      </c>
      <c r="F45" s="1">
        <f t="shared" si="0"/>
        <v>-37.011311935543773</v>
      </c>
      <c r="G45" s="1">
        <f t="shared" si="1"/>
        <v>3.2547330286015908E-7</v>
      </c>
      <c r="H45" s="1">
        <f t="shared" si="2"/>
        <v>-37.011312261017075</v>
      </c>
      <c r="K45" s="2">
        <v>0.44</v>
      </c>
      <c r="L45" s="2">
        <v>-3.3169999999999999E-4</v>
      </c>
      <c r="M45" s="2">
        <v>0.55100000000000005</v>
      </c>
      <c r="N45" s="2">
        <v>4.43E-8</v>
      </c>
      <c r="O45" s="1">
        <f t="shared" si="3"/>
        <v>-37.011311935543773</v>
      </c>
      <c r="P45" s="1">
        <f t="shared" si="4"/>
        <v>4.6065390688938808E-3</v>
      </c>
      <c r="Q45" s="1">
        <f t="shared" si="5"/>
        <v>-37.015918474612668</v>
      </c>
    </row>
    <row r="46" spans="1:17" x14ac:dyDescent="0.3">
      <c r="A46" s="2"/>
      <c r="B46" s="2">
        <v>0.45</v>
      </c>
      <c r="C46" s="2">
        <v>-3.3930000000000001E-4</v>
      </c>
      <c r="D46" s="2">
        <v>0.5635</v>
      </c>
      <c r="E46" s="2">
        <v>3.1830000000000001E-12</v>
      </c>
      <c r="F46" s="1">
        <f t="shared" si="0"/>
        <v>-37.016293442275277</v>
      </c>
      <c r="G46" s="1">
        <f t="shared" si="1"/>
        <v>3.2364235348738426E-7</v>
      </c>
      <c r="H46" s="1">
        <f t="shared" si="2"/>
        <v>-37.016293765917631</v>
      </c>
      <c r="K46" s="2">
        <v>0.45</v>
      </c>
      <c r="L46" s="2">
        <v>-3.392E-4</v>
      </c>
      <c r="M46" s="2">
        <v>0.5635</v>
      </c>
      <c r="N46" s="2">
        <v>5.6519999999999999E-8</v>
      </c>
      <c r="O46" s="1">
        <f t="shared" si="3"/>
        <v>-37.008175096248763</v>
      </c>
      <c r="P46" s="1">
        <f t="shared" si="4"/>
        <v>5.7468632603720655E-3</v>
      </c>
      <c r="Q46" s="1">
        <f t="shared" si="5"/>
        <v>-37.013921959509133</v>
      </c>
    </row>
    <row r="47" spans="1:17" x14ac:dyDescent="0.3">
      <c r="A47" s="2"/>
      <c r="B47" s="2">
        <v>0.46</v>
      </c>
      <c r="C47" s="2">
        <v>-3.4680000000000003E-4</v>
      </c>
      <c r="D47" s="2">
        <v>0.57599999999999996</v>
      </c>
      <c r="E47" s="2">
        <v>3.237E-12</v>
      </c>
      <c r="F47" s="1">
        <f t="shared" si="0"/>
        <v>-37.013116904731476</v>
      </c>
      <c r="G47" s="1">
        <f t="shared" si="1"/>
        <v>3.2199034424279079E-7</v>
      </c>
      <c r="H47" s="1">
        <f t="shared" si="2"/>
        <v>-37.013117226721818</v>
      </c>
      <c r="K47" s="2">
        <v>0.46</v>
      </c>
      <c r="L47" s="2">
        <v>-3.4670000000000002E-4</v>
      </c>
      <c r="M47" s="2">
        <v>0.57599999999999996</v>
      </c>
      <c r="N47" s="2">
        <v>7.2100000000000004E-8</v>
      </c>
      <c r="O47" s="1">
        <f t="shared" si="3"/>
        <v>-37.005174398989411</v>
      </c>
      <c r="P47" s="1">
        <f t="shared" si="4"/>
        <v>7.1719195856209551E-3</v>
      </c>
      <c r="Q47" s="1">
        <f t="shared" si="5"/>
        <v>-37.012346318575034</v>
      </c>
    </row>
    <row r="48" spans="1:17" x14ac:dyDescent="0.3">
      <c r="A48" s="2"/>
      <c r="B48" s="2">
        <v>0.47</v>
      </c>
      <c r="C48" s="2">
        <v>-3.5429999999999999E-4</v>
      </c>
      <c r="D48" s="2">
        <v>0.58860000000000001</v>
      </c>
      <c r="E48" s="2">
        <v>3.291E-12</v>
      </c>
      <c r="F48" s="1">
        <f t="shared" si="0"/>
        <v>-37.010075290142559</v>
      </c>
      <c r="G48" s="1">
        <f t="shared" si="1"/>
        <v>3.2035407811341131E-7</v>
      </c>
      <c r="H48" s="1">
        <f t="shared" si="2"/>
        <v>-37.010075610496635</v>
      </c>
      <c r="K48" s="2">
        <v>0.47</v>
      </c>
      <c r="L48" s="2">
        <v>-3.5419999999999999E-4</v>
      </c>
      <c r="M48" s="2">
        <v>0.58850000000000002</v>
      </c>
      <c r="N48" s="2">
        <v>9.1979999999999994E-8</v>
      </c>
      <c r="O48" s="1">
        <f t="shared" si="3"/>
        <v>-37.002301168973418</v>
      </c>
      <c r="P48" s="1">
        <f t="shared" si="4"/>
        <v>8.9550819994907958E-3</v>
      </c>
      <c r="Q48" s="1">
        <f t="shared" si="5"/>
        <v>-37.011256250972906</v>
      </c>
    </row>
    <row r="49" spans="1:17" x14ac:dyDescent="0.3">
      <c r="A49" s="2"/>
      <c r="B49" s="2">
        <v>0.48</v>
      </c>
      <c r="C49" s="2">
        <v>-3.6190000000000001E-4</v>
      </c>
      <c r="D49" s="2">
        <v>0.60109999999999997</v>
      </c>
      <c r="E49" s="2">
        <v>3.345E-12</v>
      </c>
      <c r="F49" s="1">
        <f t="shared" si="0"/>
        <v>-37.014771384506155</v>
      </c>
      <c r="G49" s="1">
        <f t="shared" si="1"/>
        <v>3.1883943182708433E-7</v>
      </c>
      <c r="H49" s="1">
        <f t="shared" si="2"/>
        <v>-37.014771703345588</v>
      </c>
      <c r="K49" s="2">
        <v>0.48</v>
      </c>
      <c r="L49" s="2">
        <v>-3.6170000000000001E-4</v>
      </c>
      <c r="M49" s="2">
        <v>0.60099999999999998</v>
      </c>
      <c r="N49" s="2">
        <v>1.173E-7</v>
      </c>
      <c r="O49" s="1">
        <f t="shared" si="3"/>
        <v>-36.999547453074548</v>
      </c>
      <c r="P49" s="1">
        <f t="shared" si="4"/>
        <v>1.1182686941007937E-2</v>
      </c>
      <c r="Q49" s="1">
        <f t="shared" si="5"/>
        <v>-37.010730140015554</v>
      </c>
    </row>
    <row r="50" spans="1:17" x14ac:dyDescent="0.3">
      <c r="A50" s="2"/>
      <c r="B50" s="2">
        <v>0.49</v>
      </c>
      <c r="C50" s="2">
        <v>-3.6939999999999998E-4</v>
      </c>
      <c r="D50" s="2">
        <v>0.61360000000000003</v>
      </c>
      <c r="E50" s="2">
        <v>3.399E-12</v>
      </c>
      <c r="F50" s="1">
        <f t="shared" si="0"/>
        <v>-37.011820282477501</v>
      </c>
      <c r="G50" s="1">
        <f t="shared" si="1"/>
        <v>3.1738649700939832E-7</v>
      </c>
      <c r="H50" s="1">
        <f t="shared" si="2"/>
        <v>-37.011820599863995</v>
      </c>
      <c r="K50" s="2">
        <v>0.49</v>
      </c>
      <c r="L50" s="2">
        <v>-3.6919999999999998E-4</v>
      </c>
      <c r="M50" s="2">
        <v>0.61350000000000005</v>
      </c>
      <c r="N50" s="2">
        <v>1.4959999999999999E-7</v>
      </c>
      <c r="O50" s="1">
        <f t="shared" si="3"/>
        <v>-36.99690594631646</v>
      </c>
      <c r="P50" s="1">
        <f t="shared" si="4"/>
        <v>1.3971391108830368E-2</v>
      </c>
      <c r="Q50" s="1">
        <f t="shared" si="5"/>
        <v>-37.010877337425292</v>
      </c>
    </row>
    <row r="51" spans="1:17" x14ac:dyDescent="0.3">
      <c r="A51" s="2"/>
      <c r="B51" s="2">
        <v>0.5</v>
      </c>
      <c r="C51" s="2">
        <v>-3.769E-4</v>
      </c>
      <c r="D51" s="2">
        <v>0.62609999999999999</v>
      </c>
      <c r="E51" s="2">
        <v>3.4529999999999999E-12</v>
      </c>
      <c r="F51" s="1">
        <f t="shared" si="0"/>
        <v>-37.008987008900895</v>
      </c>
      <c r="G51" s="1">
        <f t="shared" si="1"/>
        <v>3.159915774775168E-7</v>
      </c>
      <c r="H51" s="1">
        <f t="shared" si="2"/>
        <v>-37.008987324892473</v>
      </c>
      <c r="K51" s="2">
        <v>0.5</v>
      </c>
      <c r="L51" s="2">
        <v>-3.7669999999999999E-4</v>
      </c>
      <c r="M51" s="2">
        <v>0.626</v>
      </c>
      <c r="N51" s="2">
        <v>1.9079999999999999E-7</v>
      </c>
      <c r="O51" s="1">
        <f t="shared" si="3"/>
        <v>-36.994369927163959</v>
      </c>
      <c r="P51" s="1">
        <f t="shared" si="4"/>
        <v>1.7463313726155595E-2</v>
      </c>
      <c r="Q51" s="1">
        <f t="shared" si="5"/>
        <v>-37.011833240890113</v>
      </c>
    </row>
    <row r="52" spans="1:17" x14ac:dyDescent="0.3">
      <c r="A52" s="2"/>
      <c r="B52" s="2">
        <v>0.51</v>
      </c>
      <c r="C52" s="2">
        <v>-3.8450000000000002E-4</v>
      </c>
      <c r="D52" s="2">
        <v>0.63859999999999995</v>
      </c>
      <c r="E52" s="2">
        <v>3.508E-12</v>
      </c>
      <c r="F52" s="1">
        <f t="shared" si="0"/>
        <v>-37.013428341722324</v>
      </c>
      <c r="G52" s="1">
        <f t="shared" si="1"/>
        <v>3.147409873659455E-7</v>
      </c>
      <c r="H52" s="1">
        <f t="shared" si="2"/>
        <v>-37.013428656463311</v>
      </c>
      <c r="K52" s="2">
        <v>0.51</v>
      </c>
      <c r="L52" s="2">
        <v>-3.8420000000000001E-4</v>
      </c>
      <c r="M52" s="2">
        <v>0.63849999999999996</v>
      </c>
      <c r="N52" s="2">
        <v>2.4330000000000001E-7</v>
      </c>
      <c r="O52" s="1">
        <f t="shared" si="3"/>
        <v>-36.991933200414799</v>
      </c>
      <c r="P52" s="1">
        <f t="shared" si="4"/>
        <v>2.1832517589413406E-2</v>
      </c>
      <c r="Q52" s="1">
        <f t="shared" si="5"/>
        <v>-37.013765718004215</v>
      </c>
    </row>
    <row r="53" spans="1:17" x14ac:dyDescent="0.3">
      <c r="A53" s="2"/>
      <c r="B53" s="2">
        <v>0.52</v>
      </c>
      <c r="C53" s="2">
        <v>-3.9199999999999999E-4</v>
      </c>
      <c r="D53" s="2">
        <v>0.6512</v>
      </c>
      <c r="E53" s="2">
        <v>3.562E-12</v>
      </c>
      <c r="F53" s="1">
        <f t="shared" si="0"/>
        <v>-37.010673233603107</v>
      </c>
      <c r="G53" s="1">
        <f t="shared" si="1"/>
        <v>3.1340228290171872E-7</v>
      </c>
      <c r="H53" s="1">
        <f t="shared" si="2"/>
        <v>-37.010673547005389</v>
      </c>
      <c r="K53" s="2">
        <v>0.52</v>
      </c>
      <c r="L53" s="2">
        <v>-3.9159999999999998E-4</v>
      </c>
      <c r="M53" s="2">
        <v>0.65090000000000003</v>
      </c>
      <c r="N53" s="2">
        <v>3.101E-7</v>
      </c>
      <c r="O53" s="1">
        <f t="shared" si="3"/>
        <v>-36.982559719177544</v>
      </c>
      <c r="P53" s="1">
        <f t="shared" si="4"/>
        <v>2.7296696701126021E-2</v>
      </c>
      <c r="Q53" s="1">
        <f t="shared" si="5"/>
        <v>-37.009856415878673</v>
      </c>
    </row>
    <row r="54" spans="1:17" x14ac:dyDescent="0.3">
      <c r="A54" s="2"/>
      <c r="B54" s="2">
        <v>0.53</v>
      </c>
      <c r="C54" s="2">
        <v>-3.9950000000000001E-4</v>
      </c>
      <c r="D54" s="2">
        <v>0.66369999999999996</v>
      </c>
      <c r="E54" s="2">
        <v>3.617E-12</v>
      </c>
      <c r="F54" s="1">
        <f t="shared" si="0"/>
        <v>-37.00802190323725</v>
      </c>
      <c r="G54" s="1">
        <f t="shared" si="1"/>
        <v>3.1224775425466142E-7</v>
      </c>
      <c r="H54" s="1">
        <f t="shared" si="2"/>
        <v>-37.008022215485006</v>
      </c>
      <c r="K54" s="2">
        <v>0.53</v>
      </c>
      <c r="L54" s="2">
        <v>-3.991E-4</v>
      </c>
      <c r="M54" s="2">
        <v>0.66339999999999999</v>
      </c>
      <c r="N54" s="2">
        <v>3.953E-7</v>
      </c>
      <c r="O54" s="1">
        <f t="shared" si="3"/>
        <v>-36.980437100800231</v>
      </c>
      <c r="P54" s="1">
        <f t="shared" si="4"/>
        <v>3.414081845180731E-2</v>
      </c>
      <c r="Q54" s="1">
        <f t="shared" si="5"/>
        <v>-37.014577919252041</v>
      </c>
    </row>
    <row r="55" spans="1:17" x14ac:dyDescent="0.3">
      <c r="A55" s="2"/>
      <c r="B55" s="2">
        <v>0.54</v>
      </c>
      <c r="C55" s="2">
        <v>-4.0709999999999997E-4</v>
      </c>
      <c r="D55" s="2">
        <v>0.67620000000000002</v>
      </c>
      <c r="E55" s="2">
        <v>3.671E-12</v>
      </c>
      <c r="F55" s="1">
        <f t="shared" si="0"/>
        <v>-37.01223448606229</v>
      </c>
      <c r="G55" s="1">
        <f t="shared" si="1"/>
        <v>3.1105117804277607E-7</v>
      </c>
      <c r="H55" s="1">
        <f t="shared" si="2"/>
        <v>-37.012234797113472</v>
      </c>
      <c r="K55" s="2">
        <v>0.54</v>
      </c>
      <c r="L55" s="2">
        <v>-4.0650000000000001E-4</v>
      </c>
      <c r="M55" s="2">
        <v>0.67579999999999996</v>
      </c>
      <c r="N55" s="2">
        <v>5.0360000000000004E-7</v>
      </c>
      <c r="O55" s="1">
        <f t="shared" si="3"/>
        <v>-36.971621071166439</v>
      </c>
      <c r="P55" s="1">
        <f t="shared" si="4"/>
        <v>4.2696284731866069E-2</v>
      </c>
      <c r="Q55" s="1">
        <f t="shared" si="5"/>
        <v>-37.014317355898307</v>
      </c>
    </row>
    <row r="56" spans="1:17" x14ac:dyDescent="0.3">
      <c r="A56" s="2"/>
      <c r="B56" s="2">
        <v>0.55000000000000004</v>
      </c>
      <c r="C56" s="2">
        <v>-4.1459999999999999E-4</v>
      </c>
      <c r="D56" s="2">
        <v>0.68869999999999998</v>
      </c>
      <c r="E56" s="2">
        <v>3.7260000000000001E-12</v>
      </c>
      <c r="F56" s="1">
        <f t="shared" si="0"/>
        <v>-37.009651288169607</v>
      </c>
      <c r="G56" s="1">
        <f t="shared" si="1"/>
        <v>3.0998123198162441E-7</v>
      </c>
      <c r="H56" s="1">
        <f t="shared" si="2"/>
        <v>-37.009651598150839</v>
      </c>
      <c r="K56" s="2">
        <v>0.55000000000000004</v>
      </c>
      <c r="L56" s="2">
        <v>-4.1379999999999998E-4</v>
      </c>
      <c r="M56" s="2">
        <v>0.68820000000000003</v>
      </c>
      <c r="N56" s="2">
        <v>6.412E-7</v>
      </c>
      <c r="O56" s="1">
        <f t="shared" si="3"/>
        <v>-36.956472245344685</v>
      </c>
      <c r="P56" s="1">
        <f t="shared" si="4"/>
        <v>5.3382800339030916E-2</v>
      </c>
      <c r="Q56" s="1">
        <f t="shared" si="5"/>
        <v>-37.009855045683715</v>
      </c>
    </row>
    <row r="57" spans="1:17" x14ac:dyDescent="0.3">
      <c r="A57" s="2"/>
      <c r="B57" s="2">
        <v>0.56000000000000005</v>
      </c>
      <c r="C57" s="2">
        <v>-4.2220000000000002E-4</v>
      </c>
      <c r="D57" s="2">
        <v>0.70130000000000003</v>
      </c>
      <c r="E57" s="2">
        <v>3.7810000000000001E-12</v>
      </c>
      <c r="F57" s="1">
        <f t="shared" si="0"/>
        <v>-37.013684163055295</v>
      </c>
      <c r="G57" s="1">
        <f t="shared" si="1"/>
        <v>3.0890537906596931E-7</v>
      </c>
      <c r="H57" s="1">
        <f t="shared" si="2"/>
        <v>-37.013684471960673</v>
      </c>
      <c r="K57" s="2">
        <v>0.56000000000000005</v>
      </c>
      <c r="L57" s="2">
        <v>-4.2109999999999999E-4</v>
      </c>
      <c r="M57" s="2">
        <v>0.7006</v>
      </c>
      <c r="N57" s="2">
        <v>8.1610000000000001E-7</v>
      </c>
      <c r="O57" s="1">
        <f t="shared" si="3"/>
        <v>-36.94185873889915</v>
      </c>
      <c r="P57" s="1">
        <f t="shared" si="4"/>
        <v>6.6741456625142928E-2</v>
      </c>
      <c r="Q57" s="1">
        <f t="shared" si="5"/>
        <v>-37.008600195524295</v>
      </c>
    </row>
    <row r="58" spans="1:17" x14ac:dyDescent="0.3">
      <c r="A58" s="2"/>
      <c r="B58" s="2">
        <v>0.56999999999999995</v>
      </c>
      <c r="C58" s="2">
        <v>-4.2969999999999998E-4</v>
      </c>
      <c r="D58" s="2">
        <v>0.71379999999999999</v>
      </c>
      <c r="E58" s="2">
        <v>3.8349999999999997E-12</v>
      </c>
      <c r="F58" s="1">
        <f t="shared" si="0"/>
        <v>-37.011166267625057</v>
      </c>
      <c r="G58" s="1">
        <f t="shared" si="1"/>
        <v>3.0783036485383962E-7</v>
      </c>
      <c r="H58" s="1">
        <f t="shared" si="2"/>
        <v>-37.01116657545542</v>
      </c>
      <c r="K58" s="2">
        <v>0.56999999999999995</v>
      </c>
      <c r="L58" s="2">
        <v>-4.284E-4</v>
      </c>
      <c r="M58" s="2">
        <v>0.71299999999999997</v>
      </c>
      <c r="N58" s="2">
        <v>1.0380000000000001E-6</v>
      </c>
      <c r="O58" s="1">
        <f t="shared" si="3"/>
        <v>-36.927752671128275</v>
      </c>
      <c r="P58" s="1">
        <f t="shared" si="4"/>
        <v>8.3412310124354017E-2</v>
      </c>
      <c r="Q58" s="1">
        <f t="shared" si="5"/>
        <v>-37.011164981252627</v>
      </c>
    </row>
    <row r="59" spans="1:17" x14ac:dyDescent="0.3">
      <c r="A59" s="2"/>
      <c r="B59" s="2">
        <v>0.57999999999999996</v>
      </c>
      <c r="C59" s="2">
        <v>-4.372E-4</v>
      </c>
      <c r="D59" s="2">
        <v>0.72629999999999995</v>
      </c>
      <c r="E59" s="2">
        <v>3.8899999999999998E-12</v>
      </c>
      <c r="F59" s="1">
        <f t="shared" si="0"/>
        <v>-37.008735037865044</v>
      </c>
      <c r="G59" s="1">
        <f t="shared" si="1"/>
        <v>3.0687124095537687E-7</v>
      </c>
      <c r="H59" s="1">
        <f t="shared" si="2"/>
        <v>-37.008735344736287</v>
      </c>
      <c r="K59" s="2">
        <v>0.57999999999999996</v>
      </c>
      <c r="L59" s="2">
        <v>-4.3560000000000002E-4</v>
      </c>
      <c r="M59" s="2">
        <v>0.72529999999999994</v>
      </c>
      <c r="N59" s="2">
        <v>1.319E-6</v>
      </c>
      <c r="O59" s="1">
        <f t="shared" si="3"/>
        <v>-36.907812571056205</v>
      </c>
      <c r="P59" s="1">
        <f t="shared" si="4"/>
        <v>0.10419557406217107</v>
      </c>
      <c r="Q59" s="1">
        <f t="shared" si="5"/>
        <v>-37.012008145118379</v>
      </c>
    </row>
    <row r="60" spans="1:17" x14ac:dyDescent="0.3">
      <c r="A60" s="2"/>
      <c r="B60" s="2">
        <v>0.59</v>
      </c>
      <c r="C60" s="2">
        <v>-4.4480000000000002E-4</v>
      </c>
      <c r="D60" s="2">
        <v>0.73880000000000001</v>
      </c>
      <c r="E60" s="2">
        <v>3.9449999999999999E-12</v>
      </c>
      <c r="F60" s="1">
        <f t="shared" si="0"/>
        <v>-37.012578482217862</v>
      </c>
      <c r="G60" s="1">
        <f t="shared" si="1"/>
        <v>3.0594457252180529E-7</v>
      </c>
      <c r="H60" s="1">
        <f t="shared" si="2"/>
        <v>-37.012578788162436</v>
      </c>
      <c r="K60" s="2">
        <v>0.59</v>
      </c>
      <c r="L60" s="2">
        <v>-4.4270000000000003E-4</v>
      </c>
      <c r="M60" s="2">
        <v>0.73760000000000003</v>
      </c>
      <c r="N60" s="2">
        <v>1.674E-6</v>
      </c>
      <c r="O60" s="1">
        <f t="shared" si="3"/>
        <v>-36.882325894235223</v>
      </c>
      <c r="P60" s="1">
        <f t="shared" si="4"/>
        <v>0.130033853350152</v>
      </c>
      <c r="Q60" s="1">
        <f t="shared" si="5"/>
        <v>-37.012359747585371</v>
      </c>
    </row>
    <row r="61" spans="1:17" x14ac:dyDescent="0.3">
      <c r="A61" s="2"/>
      <c r="B61" s="2">
        <v>0.6</v>
      </c>
      <c r="C61" s="2">
        <v>-4.5229999999999999E-4</v>
      </c>
      <c r="D61" s="2">
        <v>0.75129999999999997</v>
      </c>
      <c r="E61" s="2">
        <v>3.9999999999999999E-12</v>
      </c>
      <c r="F61" s="1">
        <f t="shared" si="0"/>
        <v>-37.010204845357393</v>
      </c>
      <c r="G61" s="1">
        <f t="shared" si="1"/>
        <v>3.0504873958782019E-7</v>
      </c>
      <c r="H61" s="1">
        <f t="shared" si="2"/>
        <v>-37.010205150406129</v>
      </c>
      <c r="K61" s="2">
        <v>0.6</v>
      </c>
      <c r="L61" s="2">
        <v>-4.4959999999999998E-4</v>
      </c>
      <c r="M61" s="2">
        <v>0.74970000000000003</v>
      </c>
      <c r="N61" s="2">
        <v>2.1229999999999998E-6</v>
      </c>
      <c r="O61" s="1">
        <f t="shared" si="3"/>
        <v>-36.845443622782113</v>
      </c>
      <c r="P61" s="1">
        <f t="shared" si="4"/>
        <v>0.16224971957235329</v>
      </c>
      <c r="Q61" s="1">
        <f t="shared" si="5"/>
        <v>-37.007693342354465</v>
      </c>
    </row>
    <row r="62" spans="1:17" x14ac:dyDescent="0.3">
      <c r="A62" s="2"/>
      <c r="B62" s="2">
        <v>0.61</v>
      </c>
      <c r="C62" s="2">
        <v>-4.5980000000000001E-4</v>
      </c>
      <c r="D62" s="2">
        <v>0.76390000000000002</v>
      </c>
      <c r="E62" s="2">
        <v>4.055E-12</v>
      </c>
      <c r="F62" s="1">
        <f t="shared" si="0"/>
        <v>-37.007908891603471</v>
      </c>
      <c r="G62" s="1">
        <f t="shared" si="1"/>
        <v>3.0414240859477523E-7</v>
      </c>
      <c r="H62" s="1">
        <f t="shared" si="2"/>
        <v>-37.007909195745881</v>
      </c>
      <c r="K62" s="2">
        <v>0.61</v>
      </c>
      <c r="L62" s="2">
        <v>-4.5649999999999998E-4</v>
      </c>
      <c r="M62" s="2">
        <v>0.76180000000000003</v>
      </c>
      <c r="N62" s="2">
        <v>2.6860000000000002E-6</v>
      </c>
      <c r="O62" s="1">
        <f t="shared" si="3"/>
        <v>-36.809736723458791</v>
      </c>
      <c r="P62" s="1">
        <f t="shared" si="4"/>
        <v>0.20201604889208138</v>
      </c>
      <c r="Q62" s="1">
        <f t="shared" si="5"/>
        <v>-37.011752772350874</v>
      </c>
    </row>
    <row r="63" spans="1:17" x14ac:dyDescent="0.3">
      <c r="A63" s="2"/>
      <c r="B63" s="2">
        <v>0.62</v>
      </c>
      <c r="C63" s="2">
        <v>-4.6739999999999998E-4</v>
      </c>
      <c r="D63" s="2">
        <v>0.77639999999999998</v>
      </c>
      <c r="E63" s="2">
        <v>4.1109999999999997E-12</v>
      </c>
      <c r="F63" s="1">
        <f t="shared" si="0"/>
        <v>-37.011579775098369</v>
      </c>
      <c r="G63" s="1">
        <f t="shared" si="1"/>
        <v>3.0337834824611209E-7</v>
      </c>
      <c r="H63" s="1">
        <f t="shared" si="2"/>
        <v>-37.011580078476719</v>
      </c>
      <c r="K63" s="2">
        <v>0.62</v>
      </c>
      <c r="L63" s="2">
        <v>-4.6309999999999998E-4</v>
      </c>
      <c r="M63" s="2">
        <v>0.77380000000000004</v>
      </c>
      <c r="N63" s="2">
        <v>3.3919999999999999E-6</v>
      </c>
      <c r="O63" s="1">
        <f t="shared" si="3"/>
        <v>-36.757358591153377</v>
      </c>
      <c r="P63" s="1">
        <f t="shared" si="4"/>
        <v>0.25115797271734458</v>
      </c>
      <c r="Q63" s="1">
        <f t="shared" si="5"/>
        <v>-37.008516563870721</v>
      </c>
    </row>
    <row r="64" spans="1:17" x14ac:dyDescent="0.3">
      <c r="A64" s="2"/>
      <c r="B64" s="2">
        <v>0.63</v>
      </c>
      <c r="C64" s="2">
        <v>-4.749E-4</v>
      </c>
      <c r="D64" s="2">
        <v>0.78890000000000005</v>
      </c>
      <c r="E64" s="2">
        <v>4.1659999999999998E-12</v>
      </c>
      <c r="F64" s="1">
        <f t="shared" si="0"/>
        <v>-37.009334966156402</v>
      </c>
      <c r="G64" s="1">
        <f t="shared" si="1"/>
        <v>3.025658733065039E-7</v>
      </c>
      <c r="H64" s="1">
        <f t="shared" si="2"/>
        <v>-37.009335268722275</v>
      </c>
      <c r="K64" s="2">
        <v>0.63</v>
      </c>
      <c r="L64" s="2">
        <v>-4.6959999999999998E-4</v>
      </c>
      <c r="M64" s="2">
        <v>0.78569999999999995</v>
      </c>
      <c r="N64" s="2">
        <v>4.2729999999999996E-6</v>
      </c>
      <c r="O64" s="1">
        <f t="shared" si="3"/>
        <v>-36.700729169200706</v>
      </c>
      <c r="P64" s="1">
        <f t="shared" si="4"/>
        <v>0.31159787728664751</v>
      </c>
      <c r="Q64" s="1">
        <f t="shared" si="5"/>
        <v>-37.01232704648735</v>
      </c>
    </row>
    <row r="65" spans="1:17" x14ac:dyDescent="0.3">
      <c r="A65" s="2"/>
      <c r="B65" s="2">
        <v>0.64</v>
      </c>
      <c r="C65" s="2">
        <v>-4.8240000000000002E-4</v>
      </c>
      <c r="D65" s="2">
        <v>0.8014</v>
      </c>
      <c r="E65" s="2">
        <v>4.2209999999999999E-12</v>
      </c>
      <c r="F65" s="1">
        <f t="shared" si="0"/>
        <v>-37.007160181041932</v>
      </c>
      <c r="G65" s="1">
        <f t="shared" si="1"/>
        <v>3.0177874385415585E-7</v>
      </c>
      <c r="H65" s="1">
        <f t="shared" si="2"/>
        <v>-37.007160482820673</v>
      </c>
      <c r="K65" s="2">
        <v>0.64</v>
      </c>
      <c r="L65" s="2">
        <v>-4.7570000000000002E-4</v>
      </c>
      <c r="M65" s="2">
        <v>0.7974</v>
      </c>
      <c r="N65" s="2">
        <v>5.366E-6</v>
      </c>
      <c r="O65" s="1">
        <f t="shared" si="3"/>
        <v>-36.622730207244793</v>
      </c>
      <c r="P65" s="1">
        <f t="shared" si="4"/>
        <v>0.38555870592811875</v>
      </c>
      <c r="Q65" s="1">
        <f t="shared" si="5"/>
        <v>-37.008288913172912</v>
      </c>
    </row>
    <row r="66" spans="1:17" x14ac:dyDescent="0.3">
      <c r="A66" s="2"/>
      <c r="B66" s="2">
        <v>0.65</v>
      </c>
      <c r="C66" s="2">
        <v>-4.8999999999999998E-4</v>
      </c>
      <c r="D66" s="2">
        <v>0.81389999999999996</v>
      </c>
      <c r="E66" s="2">
        <v>4.276E-12</v>
      </c>
      <c r="F66" s="1">
        <f t="shared" ref="F66:F94" si="6">DEGREES(ATAN2(B66,C66*1000))</f>
        <v>-37.010673233603107</v>
      </c>
      <c r="G66" s="1">
        <f t="shared" ref="G66:G101" si="7">DEGREES(ATAN2(D66,E66*1000))</f>
        <v>3.0101579210952206E-7</v>
      </c>
      <c r="H66" s="1">
        <f t="shared" ref="H66:H101" si="8">F66-G66</f>
        <v>-37.010673534618903</v>
      </c>
      <c r="K66" s="2">
        <v>0.65</v>
      </c>
      <c r="L66" s="2">
        <v>-4.816E-4</v>
      </c>
      <c r="M66" s="2">
        <v>0.80889999999999995</v>
      </c>
      <c r="N66" s="2">
        <v>6.7129999999999999E-6</v>
      </c>
      <c r="O66" s="1">
        <f t="shared" ref="O66:O101" si="9">DEGREES(ATAN2(K66,L66*1000))</f>
        <v>-36.535600510594719</v>
      </c>
      <c r="P66" s="1">
        <f t="shared" ref="P66:P101" si="10">DEGREES(ATAN2(M66,N66*1000))</f>
        <v>0.47548243072935953</v>
      </c>
      <c r="Q66" s="1">
        <f t="shared" ref="Q66:Q101" si="11">O66-P66</f>
        <v>-37.011082941324077</v>
      </c>
    </row>
    <row r="67" spans="1:17" x14ac:dyDescent="0.3">
      <c r="A67" s="2"/>
      <c r="B67" s="2">
        <v>0.66</v>
      </c>
      <c r="C67" s="2">
        <v>-4.975E-4</v>
      </c>
      <c r="D67" s="2">
        <v>0.82650000000000001</v>
      </c>
      <c r="E67" s="2">
        <v>4.3319999999999997E-12</v>
      </c>
      <c r="F67" s="1">
        <f t="shared" si="6"/>
        <v>-37.008544149604489</v>
      </c>
      <c r="G67" s="1">
        <f t="shared" si="7"/>
        <v>3.0030891330994873E-7</v>
      </c>
      <c r="H67" s="1">
        <f t="shared" si="8"/>
        <v>-37.008544449913401</v>
      </c>
      <c r="K67" s="2">
        <v>0.66</v>
      </c>
      <c r="L67" s="2">
        <v>-4.8700000000000002E-4</v>
      </c>
      <c r="M67" s="2">
        <v>0.82020000000000004</v>
      </c>
      <c r="N67" s="2">
        <v>8.3610000000000001E-6</v>
      </c>
      <c r="O67" s="1">
        <f t="shared" si="9"/>
        <v>-36.422829190652394</v>
      </c>
      <c r="P67" s="1">
        <f t="shared" si="10"/>
        <v>0.58404464776882981</v>
      </c>
      <c r="Q67" s="1">
        <f t="shared" si="11"/>
        <v>-37.006873838421221</v>
      </c>
    </row>
    <row r="68" spans="1:17" x14ac:dyDescent="0.3">
      <c r="A68" s="2"/>
      <c r="B68" s="2">
        <v>0.67</v>
      </c>
      <c r="C68" s="2">
        <v>-5.0500000000000002E-4</v>
      </c>
      <c r="D68" s="2">
        <v>0.83899999999999997</v>
      </c>
      <c r="E68" s="2">
        <v>4.3869999999999998E-12</v>
      </c>
      <c r="F68" s="1">
        <f t="shared" si="6"/>
        <v>-37.00647850636021</v>
      </c>
      <c r="G68" s="1">
        <f t="shared" si="7"/>
        <v>2.9959068501059849E-7</v>
      </c>
      <c r="H68" s="1">
        <f t="shared" si="8"/>
        <v>-37.006478805950898</v>
      </c>
      <c r="K68" s="2">
        <v>0.67</v>
      </c>
      <c r="L68" s="2">
        <v>-4.9209999999999998E-4</v>
      </c>
      <c r="M68" s="2">
        <v>0.83120000000000005</v>
      </c>
      <c r="N68" s="2">
        <v>1.0360000000000001E-5</v>
      </c>
      <c r="O68" s="1">
        <f t="shared" si="9"/>
        <v>-36.296448943666142</v>
      </c>
      <c r="P68" s="1">
        <f t="shared" si="10"/>
        <v>0.71409232561011682</v>
      </c>
      <c r="Q68" s="1">
        <f t="shared" si="11"/>
        <v>-37.01054126927626</v>
      </c>
    </row>
    <row r="69" spans="1:17" x14ac:dyDescent="0.3">
      <c r="A69" s="2"/>
      <c r="B69" s="2">
        <v>0.68</v>
      </c>
      <c r="C69" s="2">
        <v>-5.1259999999999999E-4</v>
      </c>
      <c r="D69" s="2">
        <v>0.85150000000000003</v>
      </c>
      <c r="E69" s="2">
        <v>4.4430000000000004E-12</v>
      </c>
      <c r="F69" s="1">
        <f t="shared" si="6"/>
        <v>-37.009846662215409</v>
      </c>
      <c r="G69" s="1">
        <f t="shared" si="7"/>
        <v>2.9896083191617706E-7</v>
      </c>
      <c r="H69" s="1">
        <f t="shared" si="8"/>
        <v>-37.009846961176244</v>
      </c>
      <c r="K69" s="2">
        <v>0.68</v>
      </c>
      <c r="L69" s="2">
        <v>-4.9660000000000004E-4</v>
      </c>
      <c r="M69" s="2">
        <v>0.84189999999999998</v>
      </c>
      <c r="N69" s="2">
        <v>1.276E-5</v>
      </c>
      <c r="O69" s="1">
        <f t="shared" si="9"/>
        <v>-36.140435949389094</v>
      </c>
      <c r="P69" s="1">
        <f t="shared" si="10"/>
        <v>0.8683194849355037</v>
      </c>
      <c r="Q69" s="1">
        <f t="shared" si="11"/>
        <v>-37.008755434324598</v>
      </c>
    </row>
    <row r="70" spans="1:17" x14ac:dyDescent="0.3">
      <c r="A70" s="2"/>
      <c r="B70" s="2">
        <v>0.69</v>
      </c>
      <c r="C70" s="2">
        <v>-5.2010000000000001E-4</v>
      </c>
      <c r="D70" s="2">
        <v>0.86399999999999999</v>
      </c>
      <c r="E70" s="2">
        <v>4.4979999999999996E-12</v>
      </c>
      <c r="F70" s="1">
        <f t="shared" si="6"/>
        <v>-37.007822085337729</v>
      </c>
      <c r="G70" s="1">
        <f t="shared" si="7"/>
        <v>2.9828288917806056E-7</v>
      </c>
      <c r="H70" s="1">
        <f t="shared" si="8"/>
        <v>-37.007822383620621</v>
      </c>
      <c r="K70" s="2">
        <v>0.69</v>
      </c>
      <c r="L70" s="2">
        <v>-5.0060000000000002E-4</v>
      </c>
      <c r="M70" s="2">
        <v>0.85229999999999995</v>
      </c>
      <c r="N70" s="2">
        <v>1.562E-5</v>
      </c>
      <c r="O70" s="1">
        <f t="shared" si="9"/>
        <v>-35.961157227544874</v>
      </c>
      <c r="P70" s="1">
        <f t="shared" si="10"/>
        <v>1.0499353491507475</v>
      </c>
      <c r="Q70" s="1">
        <f t="shared" si="11"/>
        <v>-37.011092576695624</v>
      </c>
    </row>
    <row r="71" spans="1:17" x14ac:dyDescent="0.3">
      <c r="A71" s="2"/>
      <c r="B71" s="2">
        <v>0.7</v>
      </c>
      <c r="C71" s="2">
        <v>-5.2760000000000003E-4</v>
      </c>
      <c r="D71" s="2">
        <v>0.87660000000000005</v>
      </c>
      <c r="E71" s="2">
        <v>4.5540000000000002E-12</v>
      </c>
      <c r="F71" s="1">
        <f t="shared" si="6"/>
        <v>-37.0058552502379</v>
      </c>
      <c r="G71" s="1">
        <f t="shared" si="7"/>
        <v>2.9765569233695741E-7</v>
      </c>
      <c r="H71" s="1">
        <f t="shared" si="8"/>
        <v>-37.005855547893596</v>
      </c>
      <c r="K71" s="2">
        <v>0.7</v>
      </c>
      <c r="L71" s="2">
        <v>-5.0390000000000005E-4</v>
      </c>
      <c r="M71" s="2">
        <v>0.86229999999999996</v>
      </c>
      <c r="N71" s="2">
        <v>1.897E-5</v>
      </c>
      <c r="O71" s="1">
        <f t="shared" si="9"/>
        <v>-35.748496273248811</v>
      </c>
      <c r="P71" s="1">
        <f t="shared" si="10"/>
        <v>1.2602639986112223</v>
      </c>
      <c r="Q71" s="1">
        <f t="shared" si="11"/>
        <v>-37.008760271860034</v>
      </c>
    </row>
    <row r="72" spans="1:17" x14ac:dyDescent="0.3">
      <c r="A72" s="2"/>
      <c r="B72" s="2">
        <v>0.71</v>
      </c>
      <c r="C72" s="2">
        <v>-5.352E-4</v>
      </c>
      <c r="D72" s="2">
        <v>0.8891</v>
      </c>
      <c r="E72" s="2">
        <v>4.6090000000000003E-12</v>
      </c>
      <c r="F72" s="1">
        <f t="shared" si="6"/>
        <v>-37.009089926167405</v>
      </c>
      <c r="G72" s="1">
        <f t="shared" si="7"/>
        <v>2.9701523762883411E-7</v>
      </c>
      <c r="H72" s="1">
        <f t="shared" si="8"/>
        <v>-37.009090223182646</v>
      </c>
      <c r="K72" s="2">
        <v>0.71</v>
      </c>
      <c r="L72" s="2">
        <v>-5.0659999999999995E-4</v>
      </c>
      <c r="M72" s="2">
        <v>0.87180000000000002</v>
      </c>
      <c r="N72" s="2">
        <v>2.2860000000000001E-5</v>
      </c>
      <c r="O72" s="1">
        <f t="shared" si="9"/>
        <v>-35.508659540137266</v>
      </c>
      <c r="P72" s="1">
        <f t="shared" si="10"/>
        <v>1.5020434197943977</v>
      </c>
      <c r="Q72" s="1">
        <f t="shared" si="11"/>
        <v>-37.010702959931663</v>
      </c>
    </row>
    <row r="73" spans="1:17" x14ac:dyDescent="0.3">
      <c r="A73" s="2"/>
      <c r="B73" s="2">
        <v>0.72</v>
      </c>
      <c r="C73" s="2">
        <v>-5.4270000000000002E-4</v>
      </c>
      <c r="D73" s="2">
        <v>0.90159999999999996</v>
      </c>
      <c r="E73" s="2">
        <v>4.665E-12</v>
      </c>
      <c r="F73" s="1">
        <f t="shared" si="6"/>
        <v>-37.007160181041932</v>
      </c>
      <c r="G73" s="1">
        <f t="shared" si="7"/>
        <v>2.9645609075923804E-7</v>
      </c>
      <c r="H73" s="1">
        <f t="shared" si="8"/>
        <v>-37.007160477498026</v>
      </c>
      <c r="K73" s="2">
        <v>0.72</v>
      </c>
      <c r="L73" s="2">
        <v>-5.0849999999999995E-4</v>
      </c>
      <c r="M73" s="2">
        <v>0.88100000000000001</v>
      </c>
      <c r="N73" s="2">
        <v>2.7319999999999999E-5</v>
      </c>
      <c r="O73" s="1">
        <f t="shared" si="9"/>
        <v>-35.231649832364333</v>
      </c>
      <c r="P73" s="1">
        <f t="shared" si="10"/>
        <v>1.776185278858273</v>
      </c>
      <c r="Q73" s="1">
        <f t="shared" si="11"/>
        <v>-37.007835111222604</v>
      </c>
    </row>
    <row r="74" spans="1:17" x14ac:dyDescent="0.3">
      <c r="A74" s="2"/>
      <c r="B74" s="2">
        <v>0.73</v>
      </c>
      <c r="C74" s="2">
        <v>-5.5029999999999999E-4</v>
      </c>
      <c r="D74" s="2">
        <v>0.91410000000000002</v>
      </c>
      <c r="E74" s="2">
        <v>4.7209999999999998E-12</v>
      </c>
      <c r="F74" s="1">
        <f t="shared" si="6"/>
        <v>-37.010288257385291</v>
      </c>
      <c r="G74" s="1">
        <f t="shared" si="7"/>
        <v>2.9591223616810154E-7</v>
      </c>
      <c r="H74" s="1">
        <f t="shared" si="8"/>
        <v>-37.010288553297528</v>
      </c>
      <c r="K74" s="2">
        <v>0.73</v>
      </c>
      <c r="L74" s="2">
        <v>-5.0969999999999998E-4</v>
      </c>
      <c r="M74" s="2">
        <v>0.88970000000000005</v>
      </c>
      <c r="N74" s="2">
        <v>3.2379999999999998E-5</v>
      </c>
      <c r="O74" s="1">
        <f t="shared" si="9"/>
        <v>-34.923483979195638</v>
      </c>
      <c r="P74" s="1">
        <f t="shared" si="10"/>
        <v>2.0843192944498314</v>
      </c>
      <c r="Q74" s="1">
        <f t="shared" si="11"/>
        <v>-37.007803273645472</v>
      </c>
    </row>
    <row r="75" spans="1:17" x14ac:dyDescent="0.3">
      <c r="A75" s="2"/>
      <c r="B75" s="2">
        <v>0.74</v>
      </c>
      <c r="C75" s="2">
        <v>-5.5780000000000001E-4</v>
      </c>
      <c r="D75" s="2">
        <v>0.92659999999999998</v>
      </c>
      <c r="E75" s="2">
        <v>4.7770000000000003E-12</v>
      </c>
      <c r="F75" s="1">
        <f t="shared" si="6"/>
        <v>-37.008394533811121</v>
      </c>
      <c r="G75" s="1">
        <f t="shared" si="7"/>
        <v>2.9538305496869658E-7</v>
      </c>
      <c r="H75" s="1">
        <f t="shared" si="8"/>
        <v>-37.008394829194174</v>
      </c>
      <c r="K75" s="2">
        <v>0.74</v>
      </c>
      <c r="L75" s="2">
        <v>-5.1020000000000004E-4</v>
      </c>
      <c r="M75" s="2">
        <v>0.89800000000000002</v>
      </c>
      <c r="N75" s="2">
        <v>3.803E-5</v>
      </c>
      <c r="O75" s="1">
        <f t="shared" si="9"/>
        <v>-34.584688817861647</v>
      </c>
      <c r="P75" s="1">
        <f t="shared" si="10"/>
        <v>2.4250080679908841</v>
      </c>
      <c r="Q75" s="1">
        <f t="shared" si="11"/>
        <v>-37.009696885852534</v>
      </c>
    </row>
    <row r="76" spans="1:17" x14ac:dyDescent="0.3">
      <c r="A76" s="2"/>
      <c r="B76" s="2">
        <v>0.75</v>
      </c>
      <c r="C76" s="2">
        <v>-5.6530000000000003E-4</v>
      </c>
      <c r="D76" s="2">
        <v>0.93920000000000003</v>
      </c>
      <c r="E76" s="2">
        <v>4.8319999999999996E-12</v>
      </c>
      <c r="F76" s="1">
        <f t="shared" si="6"/>
        <v>-37.006551218908754</v>
      </c>
      <c r="G76" s="1">
        <f t="shared" si="7"/>
        <v>2.9477556069762966E-7</v>
      </c>
      <c r="H76" s="1">
        <f t="shared" si="8"/>
        <v>-37.006551513684315</v>
      </c>
      <c r="K76" s="2">
        <v>0.75</v>
      </c>
      <c r="L76" s="2">
        <v>-5.0989999999999998E-4</v>
      </c>
      <c r="M76" s="2">
        <v>0.90580000000000005</v>
      </c>
      <c r="N76" s="2">
        <v>4.4270000000000001E-5</v>
      </c>
      <c r="O76" s="1">
        <f t="shared" si="9"/>
        <v>-34.210477904517155</v>
      </c>
      <c r="P76" s="1">
        <f t="shared" si="10"/>
        <v>2.7980431097760778</v>
      </c>
      <c r="Q76" s="1">
        <f t="shared" si="11"/>
        <v>-37.008521014293237</v>
      </c>
    </row>
    <row r="77" spans="1:17" x14ac:dyDescent="0.3">
      <c r="A77" s="2"/>
      <c r="B77" s="2">
        <v>0.76</v>
      </c>
      <c r="C77" s="2">
        <v>-5.7289999999999999E-4</v>
      </c>
      <c r="D77" s="2">
        <v>0.95169999999999999</v>
      </c>
      <c r="E77" s="2">
        <v>4.8880000000000002E-12</v>
      </c>
      <c r="F77" s="1">
        <f t="shared" si="6"/>
        <v>-37.00956388366604</v>
      </c>
      <c r="G77" s="1">
        <f t="shared" si="7"/>
        <v>2.9427526558783905E-7</v>
      </c>
      <c r="H77" s="1">
        <f t="shared" si="8"/>
        <v>-37.009564177941307</v>
      </c>
      <c r="K77" s="2">
        <v>0.76</v>
      </c>
      <c r="L77" s="2">
        <v>-5.0889999999999996E-4</v>
      </c>
      <c r="M77" s="2">
        <v>0.91320000000000001</v>
      </c>
      <c r="N77" s="2">
        <v>5.1100000000000002E-5</v>
      </c>
      <c r="O77" s="1">
        <f t="shared" si="9"/>
        <v>-33.806472764188527</v>
      </c>
      <c r="P77" s="1">
        <f t="shared" si="10"/>
        <v>3.2027641367722124</v>
      </c>
      <c r="Q77" s="1">
        <f t="shared" si="11"/>
        <v>-37.009236900960737</v>
      </c>
    </row>
    <row r="78" spans="1:17" x14ac:dyDescent="0.3">
      <c r="A78" s="2"/>
      <c r="B78" s="2">
        <v>0.77</v>
      </c>
      <c r="C78" s="2">
        <v>-5.8040000000000001E-4</v>
      </c>
      <c r="D78" s="2">
        <v>0.96419999999999995</v>
      </c>
      <c r="E78" s="2">
        <v>4.9439999999999999E-12</v>
      </c>
      <c r="F78" s="1">
        <f t="shared" si="6"/>
        <v>-37.007753316596848</v>
      </c>
      <c r="G78" s="1">
        <f t="shared" si="7"/>
        <v>2.9378794224505191E-7</v>
      </c>
      <c r="H78" s="1">
        <f t="shared" si="8"/>
        <v>-37.007753610384789</v>
      </c>
      <c r="K78" s="2">
        <v>0.77</v>
      </c>
      <c r="L78" s="2">
        <v>-5.0710000000000002E-4</v>
      </c>
      <c r="M78" s="2">
        <v>0.92010000000000003</v>
      </c>
      <c r="N78" s="2">
        <v>5.8499999999999999E-5</v>
      </c>
      <c r="O78" s="1">
        <f t="shared" si="9"/>
        <v>-33.367758466597806</v>
      </c>
      <c r="P78" s="1">
        <f t="shared" si="10"/>
        <v>3.6379714777793977</v>
      </c>
      <c r="Q78" s="1">
        <f t="shared" si="11"/>
        <v>-37.005729944377201</v>
      </c>
    </row>
    <row r="79" spans="1:17" x14ac:dyDescent="0.3">
      <c r="A79" s="2"/>
      <c r="B79" s="2">
        <v>0.78</v>
      </c>
      <c r="C79" s="2">
        <v>-5.8790000000000003E-4</v>
      </c>
      <c r="D79" s="2">
        <v>0.97670000000000001</v>
      </c>
      <c r="E79" s="2">
        <v>4.9999999999999997E-12</v>
      </c>
      <c r="F79" s="1">
        <f t="shared" si="6"/>
        <v>-37.005989091356618</v>
      </c>
      <c r="G79" s="1">
        <f t="shared" si="7"/>
        <v>2.9331309262354009E-7</v>
      </c>
      <c r="H79" s="1">
        <f t="shared" si="8"/>
        <v>-37.005989384669711</v>
      </c>
      <c r="K79" s="2">
        <v>0.78</v>
      </c>
      <c r="L79" s="2">
        <v>-5.0469999999999996E-4</v>
      </c>
      <c r="M79" s="2">
        <v>0.92669999999999997</v>
      </c>
      <c r="N79" s="2">
        <v>6.6439999999999994E-5</v>
      </c>
      <c r="O79" s="1">
        <f t="shared" si="9"/>
        <v>-32.90493834775274</v>
      </c>
      <c r="P79" s="1">
        <f t="shared" si="10"/>
        <v>4.1008192143214126</v>
      </c>
      <c r="Q79" s="1">
        <f t="shared" si="11"/>
        <v>-37.005757562074152</v>
      </c>
    </row>
    <row r="80" spans="1:17" x14ac:dyDescent="0.3">
      <c r="A80" s="2"/>
      <c r="B80" s="2">
        <v>0.79</v>
      </c>
      <c r="C80" s="2">
        <v>-5.955E-4</v>
      </c>
      <c r="D80" s="2">
        <v>0.98919999999999997</v>
      </c>
      <c r="E80" s="2">
        <v>5.0560000000000003E-12</v>
      </c>
      <c r="F80" s="1">
        <f t="shared" si="6"/>
        <v>-37.008894513398253</v>
      </c>
      <c r="G80" s="1">
        <f t="shared" si="7"/>
        <v>2.9285024385174305E-7</v>
      </c>
      <c r="H80" s="1">
        <f t="shared" si="8"/>
        <v>-37.008894806248499</v>
      </c>
      <c r="K80" s="2">
        <v>0.79</v>
      </c>
      <c r="L80" s="2">
        <v>-5.017E-4</v>
      </c>
      <c r="M80" s="2">
        <v>0.93279999999999996</v>
      </c>
      <c r="N80" s="2">
        <v>7.4889999999999996E-5</v>
      </c>
      <c r="O80" s="1">
        <f t="shared" si="9"/>
        <v>-32.418131527901046</v>
      </c>
      <c r="P80" s="1">
        <f t="shared" si="10"/>
        <v>4.5901556227097835</v>
      </c>
      <c r="Q80" s="1">
        <f t="shared" si="11"/>
        <v>-37.008287150610826</v>
      </c>
    </row>
    <row r="81" spans="1:17" x14ac:dyDescent="0.3">
      <c r="A81" s="2"/>
      <c r="B81" s="2">
        <v>0.8</v>
      </c>
      <c r="C81" s="2">
        <v>-6.0300000000000002E-4</v>
      </c>
      <c r="D81" s="2">
        <v>1.002</v>
      </c>
      <c r="E81" s="2">
        <v>5.1110000000000003E-12</v>
      </c>
      <c r="F81" s="1">
        <f t="shared" si="6"/>
        <v>-37.007160181041925</v>
      </c>
      <c r="G81" s="1">
        <f t="shared" si="7"/>
        <v>2.9225422065006364E-7</v>
      </c>
      <c r="H81" s="1">
        <f t="shared" si="8"/>
        <v>-37.007160473296146</v>
      </c>
      <c r="K81" s="2">
        <v>0.8</v>
      </c>
      <c r="L81" s="2">
        <v>-4.9799999999999996E-4</v>
      </c>
      <c r="M81" s="2">
        <v>0.93859999999999999</v>
      </c>
      <c r="N81" s="2">
        <v>8.3830000000000002E-5</v>
      </c>
      <c r="O81" s="1">
        <f t="shared" si="9"/>
        <v>-31.902263806240114</v>
      </c>
      <c r="P81" s="1">
        <f t="shared" si="10"/>
        <v>5.1037657913021901</v>
      </c>
      <c r="Q81" s="1">
        <f t="shared" si="11"/>
        <v>-37.006029597542302</v>
      </c>
    </row>
    <row r="82" spans="1:17" x14ac:dyDescent="0.3">
      <c r="A82" s="2"/>
      <c r="B82" s="2">
        <v>0.81</v>
      </c>
      <c r="C82" s="2">
        <v>-6.1050000000000004E-4</v>
      </c>
      <c r="D82" s="2">
        <v>1.014</v>
      </c>
      <c r="E82" s="2">
        <v>5.1670000000000001E-12</v>
      </c>
      <c r="F82" s="1">
        <f t="shared" si="6"/>
        <v>-37.005468595469686</v>
      </c>
      <c r="G82" s="1">
        <f t="shared" si="7"/>
        <v>2.9195985477721538E-7</v>
      </c>
      <c r="H82" s="1">
        <f t="shared" si="8"/>
        <v>-37.005468887429544</v>
      </c>
      <c r="K82" s="2">
        <v>0.81</v>
      </c>
      <c r="L82" s="2">
        <v>-4.9379999999999997E-4</v>
      </c>
      <c r="M82" s="2">
        <v>0.94399999999999995</v>
      </c>
      <c r="N82" s="2">
        <v>9.3209999999999997E-5</v>
      </c>
      <c r="O82" s="1">
        <f t="shared" si="9"/>
        <v>-31.367722684323731</v>
      </c>
      <c r="P82" s="1">
        <f t="shared" si="10"/>
        <v>5.6390726924370655</v>
      </c>
      <c r="Q82" s="1">
        <f t="shared" si="11"/>
        <v>-37.006795376760799</v>
      </c>
    </row>
    <row r="83" spans="1:17" x14ac:dyDescent="0.3">
      <c r="A83" s="2"/>
      <c r="B83" s="2">
        <v>0.82</v>
      </c>
      <c r="C83" s="2">
        <v>-6.1810000000000001E-4</v>
      </c>
      <c r="D83" s="2">
        <v>1.0269999999999999</v>
      </c>
      <c r="E83" s="2">
        <v>5.2229999999999999E-12</v>
      </c>
      <c r="F83" s="1">
        <f t="shared" si="6"/>
        <v>-37.008274110915472</v>
      </c>
      <c r="G83" s="1">
        <f t="shared" si="7"/>
        <v>2.9138837039613336E-7</v>
      </c>
      <c r="H83" s="1">
        <f t="shared" si="8"/>
        <v>-37.00827440230384</v>
      </c>
      <c r="K83" s="2">
        <v>0.82</v>
      </c>
      <c r="L83" s="2">
        <v>-4.8910000000000002E-4</v>
      </c>
      <c r="M83" s="2">
        <v>0.94920000000000004</v>
      </c>
      <c r="N83" s="2">
        <v>1.03E-4</v>
      </c>
      <c r="O83" s="1">
        <f t="shared" si="9"/>
        <v>-30.814530349826121</v>
      </c>
      <c r="P83" s="1">
        <f t="shared" si="10"/>
        <v>6.1930725076944686</v>
      </c>
      <c r="Q83" s="1">
        <f t="shared" si="11"/>
        <v>-37.007602857520588</v>
      </c>
    </row>
    <row r="84" spans="1:17" x14ac:dyDescent="0.3">
      <c r="A84" s="2"/>
      <c r="B84" s="2">
        <v>0.83</v>
      </c>
      <c r="C84" s="2">
        <v>-6.2560000000000003E-4</v>
      </c>
      <c r="D84" s="2">
        <v>1.0389999999999999</v>
      </c>
      <c r="E84" s="2">
        <v>5.2789999999999996E-12</v>
      </c>
      <c r="F84" s="1">
        <f t="shared" si="6"/>
        <v>-37.006609914479021</v>
      </c>
      <c r="G84" s="1">
        <f t="shared" si="7"/>
        <v>2.911110876319168E-7</v>
      </c>
      <c r="H84" s="1">
        <f t="shared" si="8"/>
        <v>-37.006610205590107</v>
      </c>
      <c r="K84" s="2">
        <v>0.83</v>
      </c>
      <c r="L84" s="2">
        <v>-4.839E-4</v>
      </c>
      <c r="M84" s="2">
        <v>0.95399999999999996</v>
      </c>
      <c r="N84" s="2">
        <v>1.132E-4</v>
      </c>
      <c r="O84" s="1">
        <f t="shared" si="9"/>
        <v>-30.242700565795719</v>
      </c>
      <c r="P84" s="1">
        <f t="shared" si="10"/>
        <v>6.7669778693029254</v>
      </c>
      <c r="Q84" s="1">
        <f t="shared" si="11"/>
        <v>-37.009678435098643</v>
      </c>
    </row>
    <row r="85" spans="1:17" x14ac:dyDescent="0.3">
      <c r="A85" s="2"/>
      <c r="B85" s="2">
        <v>0.84</v>
      </c>
      <c r="C85" s="2">
        <v>-6.3310000000000005E-4</v>
      </c>
      <c r="D85" s="2">
        <v>1.052</v>
      </c>
      <c r="E85" s="2">
        <v>5.3350000000000002E-12</v>
      </c>
      <c r="F85" s="1">
        <f t="shared" si="6"/>
        <v>-37.004985271478219</v>
      </c>
      <c r="G85" s="1">
        <f t="shared" si="7"/>
        <v>2.9056367272081197E-7</v>
      </c>
      <c r="H85" s="1">
        <f t="shared" si="8"/>
        <v>-37.004985562041895</v>
      </c>
      <c r="K85" s="2">
        <v>0.84</v>
      </c>
      <c r="L85" s="2">
        <v>-4.7820000000000002E-4</v>
      </c>
      <c r="M85" s="2">
        <v>0.95860000000000001</v>
      </c>
      <c r="N85" s="2">
        <v>1.237E-4</v>
      </c>
      <c r="O85" s="1">
        <f t="shared" si="9"/>
        <v>-29.65224114285682</v>
      </c>
      <c r="P85" s="1">
        <f t="shared" si="10"/>
        <v>7.3529483084963099</v>
      </c>
      <c r="Q85" s="1">
        <f t="shared" si="11"/>
        <v>-37.005189451353132</v>
      </c>
    </row>
    <row r="86" spans="1:17" x14ac:dyDescent="0.3">
      <c r="A86" s="2"/>
      <c r="B86" s="2">
        <v>0.85</v>
      </c>
      <c r="C86" s="2">
        <v>-6.4070000000000002E-4</v>
      </c>
      <c r="D86" s="2">
        <v>1.0640000000000001</v>
      </c>
      <c r="E86" s="2">
        <v>5.3909999999999999E-12</v>
      </c>
      <c r="F86" s="1">
        <f t="shared" si="6"/>
        <v>-37.007697492468644</v>
      </c>
      <c r="G86" s="1">
        <f t="shared" si="7"/>
        <v>2.9030220616073944E-7</v>
      </c>
      <c r="H86" s="1">
        <f t="shared" si="8"/>
        <v>-37.007697782770848</v>
      </c>
      <c r="K86" s="2">
        <v>0.85</v>
      </c>
      <c r="L86" s="2">
        <v>-4.7209999999999998E-4</v>
      </c>
      <c r="M86" s="2">
        <v>0.96289999999999998</v>
      </c>
      <c r="N86" s="2">
        <v>1.3459999999999999E-4</v>
      </c>
      <c r="O86" s="1">
        <f t="shared" si="9"/>
        <v>-29.04830817407732</v>
      </c>
      <c r="P86" s="1">
        <f t="shared" si="10"/>
        <v>7.9575879827696001</v>
      </c>
      <c r="Q86" s="1">
        <f t="shared" si="11"/>
        <v>-37.005896156846923</v>
      </c>
    </row>
    <row r="87" spans="1:17" x14ac:dyDescent="0.3">
      <c r="A87" s="2"/>
      <c r="B87" s="2">
        <v>0.86</v>
      </c>
      <c r="C87" s="2">
        <v>-6.4820000000000003E-4</v>
      </c>
      <c r="D87" s="2">
        <v>1.077</v>
      </c>
      <c r="E87" s="2">
        <v>5.4469999999999997E-12</v>
      </c>
      <c r="F87" s="1">
        <f t="shared" si="6"/>
        <v>-37.006098031454179</v>
      </c>
      <c r="G87" s="1">
        <f t="shared" si="7"/>
        <v>2.8977726184564477E-7</v>
      </c>
      <c r="H87" s="1">
        <f t="shared" si="8"/>
        <v>-37.006098321231441</v>
      </c>
      <c r="K87" s="2">
        <v>0.86</v>
      </c>
      <c r="L87" s="2">
        <v>-4.6569999999999999E-4</v>
      </c>
      <c r="M87" s="2">
        <v>0.96699999999999997</v>
      </c>
      <c r="N87" s="2">
        <v>1.4579999999999999E-4</v>
      </c>
      <c r="O87" s="1">
        <f t="shared" si="9"/>
        <v>-28.436060196749619</v>
      </c>
      <c r="P87" s="1">
        <f t="shared" si="10"/>
        <v>8.5742210959020024</v>
      </c>
      <c r="Q87" s="1">
        <f t="shared" si="11"/>
        <v>-37.010281292651619</v>
      </c>
    </row>
    <row r="88" spans="1:17" x14ac:dyDescent="0.3">
      <c r="A88" s="2"/>
      <c r="B88" s="2">
        <v>0.87</v>
      </c>
      <c r="C88" s="2">
        <v>-6.558E-4</v>
      </c>
      <c r="D88" s="2">
        <v>1.089</v>
      </c>
      <c r="E88" s="2">
        <v>5.5030000000000003E-12</v>
      </c>
      <c r="F88" s="1">
        <f t="shared" si="6"/>
        <v>-37.008735037865044</v>
      </c>
      <c r="G88" s="1">
        <f t="shared" si="7"/>
        <v>2.8953046341642978E-7</v>
      </c>
      <c r="H88" s="1">
        <f t="shared" si="8"/>
        <v>-37.008735327395506</v>
      </c>
      <c r="K88" s="2">
        <v>0.87</v>
      </c>
      <c r="L88" s="2">
        <v>-4.5889999999999999E-4</v>
      </c>
      <c r="M88" s="2">
        <v>0.97089999999999999</v>
      </c>
      <c r="N88" s="2">
        <v>1.572E-4</v>
      </c>
      <c r="O88" s="1">
        <f t="shared" si="9"/>
        <v>-27.810358825896916</v>
      </c>
      <c r="P88" s="1">
        <f t="shared" si="10"/>
        <v>9.1970392622474026</v>
      </c>
      <c r="Q88" s="1">
        <f t="shared" si="11"/>
        <v>-37.007398088144321</v>
      </c>
    </row>
    <row r="89" spans="1:17" x14ac:dyDescent="0.3">
      <c r="A89" s="2"/>
      <c r="B89" s="2">
        <v>0.88</v>
      </c>
      <c r="C89" s="2">
        <v>-6.6330000000000002E-4</v>
      </c>
      <c r="D89" s="2">
        <v>1.1020000000000001</v>
      </c>
      <c r="E89" s="2">
        <v>5.559E-12</v>
      </c>
      <c r="F89" s="1">
        <f t="shared" si="6"/>
        <v>-37.007160181041932</v>
      </c>
      <c r="G89" s="1">
        <f t="shared" si="7"/>
        <v>2.8902653204466845E-7</v>
      </c>
      <c r="H89" s="1">
        <f t="shared" si="8"/>
        <v>-37.007160470068463</v>
      </c>
      <c r="K89" s="2">
        <v>0.88</v>
      </c>
      <c r="L89" s="2">
        <v>-4.5169999999999997E-4</v>
      </c>
      <c r="M89" s="2">
        <v>0.97460000000000002</v>
      </c>
      <c r="N89" s="2">
        <v>1.6899999999999999E-4</v>
      </c>
      <c r="O89" s="1">
        <f t="shared" si="9"/>
        <v>-27.171223450840738</v>
      </c>
      <c r="P89" s="1">
        <f t="shared" si="10"/>
        <v>9.8375210652669125</v>
      </c>
      <c r="Q89" s="1">
        <f t="shared" si="11"/>
        <v>-37.008744516107654</v>
      </c>
    </row>
    <row r="90" spans="1:17" x14ac:dyDescent="0.3">
      <c r="A90" s="2"/>
      <c r="B90" s="2">
        <v>0.89</v>
      </c>
      <c r="C90" s="2">
        <v>-6.7080000000000004E-4</v>
      </c>
      <c r="D90" s="2">
        <v>1.1140000000000001</v>
      </c>
      <c r="E90" s="2">
        <v>5.6149999999999998E-12</v>
      </c>
      <c r="F90" s="1">
        <f t="shared" si="6"/>
        <v>-37.00562065118487</v>
      </c>
      <c r="G90" s="1">
        <f t="shared" si="7"/>
        <v>2.8879335903586823E-7</v>
      </c>
      <c r="H90" s="1">
        <f t="shared" si="8"/>
        <v>-37.005620939978229</v>
      </c>
      <c r="K90" s="2">
        <v>0.89</v>
      </c>
      <c r="L90" s="2">
        <v>-4.4430000000000001E-4</v>
      </c>
      <c r="M90" s="2">
        <v>0.97809999999999997</v>
      </c>
      <c r="N90" s="2">
        <v>1.8090000000000001E-4</v>
      </c>
      <c r="O90" s="1">
        <f t="shared" si="9"/>
        <v>-26.528988559299002</v>
      </c>
      <c r="P90" s="1">
        <f t="shared" si="10"/>
        <v>10.478471072826903</v>
      </c>
      <c r="Q90" s="1">
        <f t="shared" si="11"/>
        <v>-37.007459632125901</v>
      </c>
    </row>
    <row r="91" spans="1:17" x14ac:dyDescent="0.3">
      <c r="A91" s="2"/>
      <c r="B91" s="2">
        <v>0.9</v>
      </c>
      <c r="C91" s="2">
        <v>-6.7840000000000001E-4</v>
      </c>
      <c r="D91" s="2">
        <v>1.127</v>
      </c>
      <c r="E91" s="2">
        <v>5.6710000000000004E-12</v>
      </c>
      <c r="F91" s="1">
        <f t="shared" si="6"/>
        <v>-37.008175096248763</v>
      </c>
      <c r="G91" s="1">
        <f t="shared" si="7"/>
        <v>2.8830910880096702E-7</v>
      </c>
      <c r="H91" s="1">
        <f t="shared" si="8"/>
        <v>-37.008175384557873</v>
      </c>
      <c r="K91" s="2">
        <v>0.9</v>
      </c>
      <c r="L91" s="2">
        <v>-4.3659999999999999E-4</v>
      </c>
      <c r="M91" s="2">
        <v>0.98150000000000004</v>
      </c>
      <c r="N91" s="2">
        <v>1.931E-4</v>
      </c>
      <c r="O91" s="1">
        <f t="shared" si="9"/>
        <v>-25.878538878440086</v>
      </c>
      <c r="P91" s="1">
        <f t="shared" si="10"/>
        <v>11.130202743139845</v>
      </c>
      <c r="Q91" s="1">
        <f t="shared" si="11"/>
        <v>-37.008741621579929</v>
      </c>
    </row>
    <row r="92" spans="1:17" x14ac:dyDescent="0.3">
      <c r="A92" s="2"/>
      <c r="B92" s="2">
        <v>0.91</v>
      </c>
      <c r="C92" s="2">
        <v>-6.8590000000000003E-4</v>
      </c>
      <c r="D92" s="2">
        <v>1.1399999999999999</v>
      </c>
      <c r="E92" s="2">
        <v>5.7270000000000001E-12</v>
      </c>
      <c r="F92" s="1">
        <f t="shared" si="6"/>
        <v>-37.006658289880868</v>
      </c>
      <c r="G92" s="1">
        <f t="shared" si="7"/>
        <v>2.8783590286966887E-7</v>
      </c>
      <c r="H92" s="1">
        <f t="shared" si="8"/>
        <v>-37.00665857771677</v>
      </c>
      <c r="K92" s="2">
        <v>0.91</v>
      </c>
      <c r="L92" s="2">
        <v>-4.2860000000000001E-4</v>
      </c>
      <c r="M92" s="2">
        <v>0.98470000000000002</v>
      </c>
      <c r="N92" s="2">
        <v>2.0550000000000001E-4</v>
      </c>
      <c r="O92" s="1">
        <f t="shared" si="9"/>
        <v>-25.219920279136314</v>
      </c>
      <c r="P92" s="1">
        <f t="shared" si="10"/>
        <v>11.788037844506475</v>
      </c>
      <c r="Q92" s="1">
        <f t="shared" si="11"/>
        <v>-37.007958123642787</v>
      </c>
    </row>
    <row r="93" spans="1:17" x14ac:dyDescent="0.3">
      <c r="A93" s="2"/>
      <c r="B93" s="2">
        <v>0.92</v>
      </c>
      <c r="C93" s="2">
        <v>-6.9340000000000005E-4</v>
      </c>
      <c r="D93" s="2">
        <v>1.1519999999999999</v>
      </c>
      <c r="E93" s="2">
        <v>5.7829999999999999E-12</v>
      </c>
      <c r="F93" s="1">
        <f t="shared" si="6"/>
        <v>-37.005174398989411</v>
      </c>
      <c r="G93" s="1">
        <f t="shared" si="7"/>
        <v>2.8762282371888465E-7</v>
      </c>
      <c r="H93" s="1">
        <f t="shared" si="8"/>
        <v>-37.005174686612236</v>
      </c>
      <c r="K93" s="2">
        <v>0.92</v>
      </c>
      <c r="L93" s="2">
        <v>-4.2039999999999997E-4</v>
      </c>
      <c r="M93" s="2">
        <v>0.98770000000000002</v>
      </c>
      <c r="N93" s="2">
        <v>2.1800000000000001E-4</v>
      </c>
      <c r="O93" s="1">
        <f t="shared" si="9"/>
        <v>-24.558339918921327</v>
      </c>
      <c r="P93" s="1">
        <f t="shared" si="10"/>
        <v>12.446476532991744</v>
      </c>
      <c r="Q93" s="1">
        <f t="shared" si="11"/>
        <v>-37.004816451913072</v>
      </c>
    </row>
    <row r="94" spans="1:17" x14ac:dyDescent="0.3">
      <c r="A94" s="2"/>
      <c r="B94" s="2">
        <v>0.93</v>
      </c>
      <c r="C94" s="2">
        <v>-7.0100000000000002E-4</v>
      </c>
      <c r="D94" s="2">
        <v>1.165</v>
      </c>
      <c r="E94" s="2">
        <v>5.8389999999999997E-12</v>
      </c>
      <c r="F94" s="1">
        <f t="shared" si="6"/>
        <v>-37.007651272429463</v>
      </c>
      <c r="G94" s="1">
        <f t="shared" si="7"/>
        <v>2.8716743053810096E-7</v>
      </c>
      <c r="H94" s="1">
        <f t="shared" si="8"/>
        <v>-37.007651559596894</v>
      </c>
      <c r="K94" s="2">
        <v>0.93</v>
      </c>
      <c r="L94" s="2">
        <v>-4.1199999999999999E-4</v>
      </c>
      <c r="M94" s="2">
        <v>0.99060000000000004</v>
      </c>
      <c r="N94" s="2">
        <v>2.308E-4</v>
      </c>
      <c r="O94" s="1">
        <f t="shared" si="9"/>
        <v>-23.893857608505268</v>
      </c>
      <c r="P94" s="1">
        <f t="shared" si="10"/>
        <v>13.115370860970645</v>
      </c>
      <c r="Q94" s="1">
        <f t="shared" si="11"/>
        <v>-37.009228469475914</v>
      </c>
    </row>
    <row r="95" spans="1:17" x14ac:dyDescent="0.3">
      <c r="A95" s="2"/>
      <c r="B95" s="2">
        <v>0.94</v>
      </c>
      <c r="C95" s="2">
        <v>-7.0850000000000004E-4</v>
      </c>
      <c r="D95" s="2">
        <v>1.177</v>
      </c>
      <c r="E95" s="2">
        <v>5.8950000000000002E-12</v>
      </c>
      <c r="F95" s="1">
        <f t="shared" ref="F95:F101" si="12">DEGREES(ATAN2(B95,C95*1000))</f>
        <v>-37.006188428319355</v>
      </c>
      <c r="G95" s="1">
        <f t="shared" si="7"/>
        <v>2.8696569263349221E-7</v>
      </c>
      <c r="H95" s="1">
        <f t="shared" si="8"/>
        <v>-37.006188715285049</v>
      </c>
      <c r="K95" s="2">
        <v>0.94</v>
      </c>
      <c r="L95" s="2">
        <v>-4.0339999999999999E-4</v>
      </c>
      <c r="M95" s="2">
        <v>0.99339999999999995</v>
      </c>
      <c r="N95" s="2">
        <v>2.4369999999999999E-4</v>
      </c>
      <c r="O95" s="1">
        <f t="shared" si="9"/>
        <v>-23.226538954622903</v>
      </c>
      <c r="P95" s="1">
        <f t="shared" si="10"/>
        <v>13.783547527601479</v>
      </c>
      <c r="Q95" s="1">
        <f t="shared" si="11"/>
        <v>-37.010086482224381</v>
      </c>
    </row>
    <row r="96" spans="1:17" x14ac:dyDescent="0.3">
      <c r="A96" s="2"/>
      <c r="B96" s="2">
        <v>0.95</v>
      </c>
      <c r="C96" s="2">
        <v>-7.1599999999999995E-4</v>
      </c>
      <c r="D96" s="2">
        <v>1.19</v>
      </c>
      <c r="E96" s="2">
        <v>5.951E-12</v>
      </c>
      <c r="F96" s="1">
        <f t="shared" si="12"/>
        <v>-37.004756326389789</v>
      </c>
      <c r="G96" s="1">
        <f t="shared" si="7"/>
        <v>2.8652704527928814E-7</v>
      </c>
      <c r="H96" s="1">
        <f t="shared" si="8"/>
        <v>-37.004756612916836</v>
      </c>
      <c r="K96" s="2">
        <v>0.95</v>
      </c>
      <c r="L96" s="2">
        <v>-3.946E-4</v>
      </c>
      <c r="M96" s="2">
        <v>0.99609999999999999</v>
      </c>
      <c r="N96" s="2">
        <v>2.5670000000000001E-4</v>
      </c>
      <c r="O96" s="1">
        <f t="shared" si="9"/>
        <v>-22.556455302441652</v>
      </c>
      <c r="P96" s="1">
        <f t="shared" si="10"/>
        <v>14.450982500090422</v>
      </c>
      <c r="Q96" s="1">
        <f t="shared" si="11"/>
        <v>-37.007437802532074</v>
      </c>
    </row>
    <row r="97" spans="1:17" x14ac:dyDescent="0.3">
      <c r="A97" s="2"/>
      <c r="B97" s="2">
        <v>0.96</v>
      </c>
      <c r="C97" s="2">
        <v>-7.2360000000000002E-4</v>
      </c>
      <c r="D97" s="2">
        <v>1.202</v>
      </c>
      <c r="E97" s="2">
        <v>6.0069999999999997E-12</v>
      </c>
      <c r="F97" s="1">
        <f t="shared" si="12"/>
        <v>-37.007160181041932</v>
      </c>
      <c r="G97" s="1">
        <f t="shared" si="7"/>
        <v>2.8633589645181822E-7</v>
      </c>
      <c r="H97" s="1">
        <f t="shared" si="8"/>
        <v>-37.00716046737783</v>
      </c>
      <c r="K97" s="2">
        <v>0.96</v>
      </c>
      <c r="L97" s="2">
        <v>-3.8559999999999999E-4</v>
      </c>
      <c r="M97" s="2">
        <v>0.99870000000000003</v>
      </c>
      <c r="N97" s="2">
        <v>2.699E-4</v>
      </c>
      <c r="O97" s="1">
        <f t="shared" si="9"/>
        <v>-21.883683668046807</v>
      </c>
      <c r="P97" s="1">
        <f t="shared" si="10"/>
        <v>15.12299580426766</v>
      </c>
      <c r="Q97" s="1">
        <f t="shared" si="11"/>
        <v>-37.006679472314467</v>
      </c>
    </row>
    <row r="98" spans="1:17" x14ac:dyDescent="0.3">
      <c r="A98" s="2"/>
      <c r="B98" s="2">
        <v>0.97</v>
      </c>
      <c r="C98" s="2">
        <v>-7.3110000000000004E-4</v>
      </c>
      <c r="D98" s="2">
        <v>1.2150000000000001</v>
      </c>
      <c r="E98" s="2">
        <v>6.0630000000000003E-12</v>
      </c>
      <c r="F98" s="1">
        <f t="shared" si="12"/>
        <v>-37.005747625078904</v>
      </c>
      <c r="G98" s="1">
        <f t="shared" si="7"/>
        <v>2.8591301332330704E-7</v>
      </c>
      <c r="H98" s="1">
        <f t="shared" si="8"/>
        <v>-37.005747910991914</v>
      </c>
      <c r="K98" s="2">
        <v>0.97</v>
      </c>
      <c r="L98" s="2">
        <v>-3.7639999999999999E-4</v>
      </c>
      <c r="M98" s="2">
        <v>1.0009999999999999</v>
      </c>
      <c r="N98" s="2">
        <v>2.833E-4</v>
      </c>
      <c r="O98" s="1">
        <f t="shared" si="9"/>
        <v>-21.208306660492994</v>
      </c>
      <c r="P98" s="1">
        <f t="shared" si="10"/>
        <v>15.802413965663616</v>
      </c>
      <c r="Q98" s="1">
        <f t="shared" si="11"/>
        <v>-37.010720626156612</v>
      </c>
    </row>
    <row r="99" spans="1:17" x14ac:dyDescent="0.3">
      <c r="A99" s="2"/>
      <c r="B99" s="2">
        <v>0.98</v>
      </c>
      <c r="C99" s="2">
        <v>-7.3859999999999996E-4</v>
      </c>
      <c r="D99" s="2">
        <v>1.2270000000000001</v>
      </c>
      <c r="E99" s="2">
        <v>6.1190000000000001E-12</v>
      </c>
      <c r="F99" s="1">
        <f t="shared" si="12"/>
        <v>-37.004363845887077</v>
      </c>
      <c r="G99" s="1">
        <f t="shared" si="7"/>
        <v>2.8573176433622713E-7</v>
      </c>
      <c r="H99" s="1">
        <f t="shared" si="8"/>
        <v>-37.004364131618843</v>
      </c>
      <c r="K99" s="2">
        <v>0.98</v>
      </c>
      <c r="L99" s="2">
        <v>-3.6709999999999998E-4</v>
      </c>
      <c r="M99" s="2">
        <v>1.004</v>
      </c>
      <c r="N99" s="2">
        <v>2.967E-4</v>
      </c>
      <c r="O99" s="1">
        <f t="shared" si="9"/>
        <v>-20.535539645828656</v>
      </c>
      <c r="P99" s="1">
        <f t="shared" si="10"/>
        <v>16.463354762666892</v>
      </c>
      <c r="Q99" s="1">
        <f t="shared" si="11"/>
        <v>-36.998894408495545</v>
      </c>
    </row>
    <row r="100" spans="1:17" x14ac:dyDescent="0.3">
      <c r="A100" s="2"/>
      <c r="B100" s="2">
        <v>0.99</v>
      </c>
      <c r="C100" s="2">
        <v>-7.4620000000000003E-4</v>
      </c>
      <c r="D100" s="2">
        <v>1.24</v>
      </c>
      <c r="E100" s="2">
        <v>6.1749999999999998E-12</v>
      </c>
      <c r="F100" s="1">
        <f t="shared" si="12"/>
        <v>-37.006698846988506</v>
      </c>
      <c r="G100" s="1">
        <f t="shared" si="7"/>
        <v>2.8532374072038975E-7</v>
      </c>
      <c r="H100" s="1">
        <f t="shared" si="8"/>
        <v>-37.006699132312249</v>
      </c>
      <c r="K100" s="2">
        <v>0.99</v>
      </c>
      <c r="L100" s="2">
        <v>-3.5770000000000002E-4</v>
      </c>
      <c r="M100" s="2">
        <v>1.006</v>
      </c>
      <c r="N100" s="2">
        <v>3.1030000000000001E-4</v>
      </c>
      <c r="O100" s="1">
        <f t="shared" si="9"/>
        <v>-19.865453351306776</v>
      </c>
      <c r="P100" s="1">
        <f t="shared" si="10"/>
        <v>17.142342084785106</v>
      </c>
      <c r="Q100" s="1">
        <f t="shared" si="11"/>
        <v>-37.007795436091882</v>
      </c>
    </row>
    <row r="101" spans="1:17" x14ac:dyDescent="0.3">
      <c r="A101" s="3"/>
      <c r="B101" s="3">
        <v>1</v>
      </c>
      <c r="C101" s="3">
        <v>-7.5370000000000005E-4</v>
      </c>
      <c r="D101" s="3">
        <v>1.252</v>
      </c>
      <c r="E101" s="3">
        <v>6.2309999999999996E-12</v>
      </c>
      <c r="F101" s="1">
        <f t="shared" si="12"/>
        <v>-37.005333265371576</v>
      </c>
      <c r="G101" s="1">
        <f t="shared" si="7"/>
        <v>2.8515175890256862E-7</v>
      </c>
      <c r="H101" s="1">
        <f t="shared" si="8"/>
        <v>-37.005333550523332</v>
      </c>
      <c r="K101" s="3">
        <v>1</v>
      </c>
      <c r="L101" s="3">
        <v>-3.481E-4</v>
      </c>
      <c r="M101" s="3">
        <v>1.008</v>
      </c>
      <c r="N101" s="3">
        <v>3.2400000000000001E-4</v>
      </c>
      <c r="O101" s="1">
        <f t="shared" si="9"/>
        <v>-19.193007102931723</v>
      </c>
      <c r="P101" s="1">
        <f t="shared" si="10"/>
        <v>17.81888891452278</v>
      </c>
      <c r="Q101" s="1">
        <f t="shared" si="11"/>
        <v>-37.011896017454504</v>
      </c>
    </row>
    <row r="102" spans="1:17" x14ac:dyDescent="0.3">
      <c r="B102" s="2">
        <v>1</v>
      </c>
      <c r="C102" s="2">
        <v>-7.5370000000000005E-4</v>
      </c>
      <c r="D102" s="2">
        <v>1.252</v>
      </c>
      <c r="E102" s="2">
        <v>6.2309999999999996E-12</v>
      </c>
      <c r="F102" s="1">
        <f>DEGREES(ATAN2(B102,C102*1000))</f>
        <v>-37.005333265371576</v>
      </c>
      <c r="G102" s="1">
        <f>DEGREES(ATAN2(D102,E102*1000))</f>
        <v>2.8515175890256862E-7</v>
      </c>
      <c r="H102" s="1">
        <f>F102-G102</f>
        <v>-37.005333550523332</v>
      </c>
      <c r="J102" s="3"/>
      <c r="K102" s="2">
        <v>1</v>
      </c>
      <c r="L102" s="2">
        <v>-3.481E-4</v>
      </c>
      <c r="M102" s="2">
        <v>1.008</v>
      </c>
      <c r="N102" s="2">
        <v>3.2400000000000001E-4</v>
      </c>
      <c r="O102" s="1">
        <f>DEGREES(ATAN2(K102,L102*1000))</f>
        <v>-19.193007102931723</v>
      </c>
      <c r="P102" s="1">
        <f>DEGREES(ATAN2(M102,N102*1000))</f>
        <v>17.81888891452278</v>
      </c>
      <c r="Q102" s="1">
        <f>O102-P102</f>
        <v>-37.011896017454504</v>
      </c>
    </row>
    <row r="103" spans="1:17" x14ac:dyDescent="0.3">
      <c r="B103" s="2">
        <v>2</v>
      </c>
      <c r="C103" s="2">
        <v>-1.5070000000000001E-3</v>
      </c>
      <c r="D103" s="2">
        <v>2.504</v>
      </c>
      <c r="E103" s="2">
        <v>1.163E-11</v>
      </c>
      <c r="F103" s="1">
        <f t="shared" ref="F103:F131" si="13">DEGREES(ATAN2(B103,C103*1000))</f>
        <v>-36.998024724524036</v>
      </c>
      <c r="G103" s="1">
        <f t="shared" ref="G103:G131" si="14">DEGREES(ATAN2(D103,E103*1000))</f>
        <v>2.6611418360109717E-7</v>
      </c>
      <c r="H103" s="1">
        <f t="shared" ref="H103:H131" si="15">F103-G103</f>
        <v>-36.998024990638221</v>
      </c>
      <c r="J103" s="3"/>
      <c r="K103" s="2">
        <v>2</v>
      </c>
      <c r="L103" s="2">
        <v>8.2919999999999999E-4</v>
      </c>
      <c r="M103" s="2">
        <v>1.0980000000000001</v>
      </c>
      <c r="N103" s="2">
        <v>1.866E-3</v>
      </c>
      <c r="O103" s="1">
        <f t="shared" ref="O103:O131" si="16">DEGREES(ATAN2(K103,L103*1000))</f>
        <v>22.518896152401435</v>
      </c>
      <c r="P103" s="1">
        <f t="shared" ref="P103:P131" si="17">DEGREES(ATAN2(M103,N103*1000))</f>
        <v>59.526404528462564</v>
      </c>
      <c r="Q103" s="1">
        <f t="shared" ref="Q103:Q131" si="18">O103-P103</f>
        <v>-37.007508376061125</v>
      </c>
    </row>
    <row r="104" spans="1:17" x14ac:dyDescent="0.3">
      <c r="B104" s="2">
        <v>3</v>
      </c>
      <c r="C104" s="2">
        <v>-2.261E-3</v>
      </c>
      <c r="D104" s="2">
        <v>3.7559999999999998</v>
      </c>
      <c r="E104" s="2">
        <v>1.6390000000000001E-11</v>
      </c>
      <c r="F104" s="1">
        <f t="shared" si="13"/>
        <v>-37.004115272805954</v>
      </c>
      <c r="G104" s="1">
        <f t="shared" si="14"/>
        <v>2.5002072050570268E-7</v>
      </c>
      <c r="H104" s="1">
        <f t="shared" si="15"/>
        <v>-37.004115522826673</v>
      </c>
      <c r="J104" s="3"/>
      <c r="K104" s="2">
        <v>3</v>
      </c>
      <c r="L104" s="2">
        <v>2.1029999999999998E-3</v>
      </c>
      <c r="M104" s="2">
        <v>1.1299999999999999</v>
      </c>
      <c r="N104" s="2">
        <v>3.4849999999999998E-3</v>
      </c>
      <c r="O104" s="1">
        <f t="shared" si="16"/>
        <v>35.03045567915072</v>
      </c>
      <c r="P104" s="1">
        <f t="shared" si="17"/>
        <v>72.034880875219216</v>
      </c>
      <c r="Q104" s="1">
        <f t="shared" si="18"/>
        <v>-37.004425196068496</v>
      </c>
    </row>
    <row r="105" spans="1:17" x14ac:dyDescent="0.3">
      <c r="B105" s="2">
        <v>4</v>
      </c>
      <c r="C105" s="2">
        <v>-3.0140000000000002E-3</v>
      </c>
      <c r="D105" s="2">
        <v>5.0090000000000003</v>
      </c>
      <c r="E105" s="2">
        <v>2.0509999999999999E-11</v>
      </c>
      <c r="F105" s="1">
        <f t="shared" si="13"/>
        <v>-36.998024724524036</v>
      </c>
      <c r="G105" s="1">
        <f t="shared" si="14"/>
        <v>2.346049985652462E-7</v>
      </c>
      <c r="H105" s="1">
        <f t="shared" si="15"/>
        <v>-36.998024959129033</v>
      </c>
      <c r="J105" s="3"/>
      <c r="K105" s="2">
        <v>4</v>
      </c>
      <c r="L105" s="2">
        <v>3.3969999999999998E-3</v>
      </c>
      <c r="M105" s="2">
        <v>1.1499999999999999</v>
      </c>
      <c r="N105" s="2">
        <v>5.1200000000000004E-3</v>
      </c>
      <c r="O105" s="1">
        <f t="shared" si="16"/>
        <v>40.339579974113875</v>
      </c>
      <c r="P105" s="1">
        <f t="shared" si="17"/>
        <v>77.340921003415147</v>
      </c>
      <c r="Q105" s="1">
        <f t="shared" si="18"/>
        <v>-37.001341029301273</v>
      </c>
    </row>
    <row r="106" spans="1:17" x14ac:dyDescent="0.3">
      <c r="B106" s="2">
        <v>5</v>
      </c>
      <c r="C106" s="2">
        <v>-3.7680000000000001E-3</v>
      </c>
      <c r="D106" s="2">
        <v>6.2610000000000001</v>
      </c>
      <c r="E106" s="2">
        <v>2.4099999999999999E-11</v>
      </c>
      <c r="F106" s="1">
        <f t="shared" si="13"/>
        <v>-37.001679170586272</v>
      </c>
      <c r="G106" s="1">
        <f t="shared" si="14"/>
        <v>2.2054436771526657E-7</v>
      </c>
      <c r="H106" s="1">
        <f t="shared" si="15"/>
        <v>-37.001679391130637</v>
      </c>
      <c r="J106" s="3"/>
      <c r="K106" s="2">
        <v>5</v>
      </c>
      <c r="L106" s="2">
        <v>4.7000000000000002E-3</v>
      </c>
      <c r="M106" s="2">
        <v>1.165</v>
      </c>
      <c r="N106" s="2">
        <v>6.7619999999999998E-3</v>
      </c>
      <c r="O106" s="1">
        <f t="shared" si="16"/>
        <v>43.228530259965929</v>
      </c>
      <c r="P106" s="1">
        <f t="shared" si="17"/>
        <v>80.224686734036666</v>
      </c>
      <c r="Q106" s="1">
        <f t="shared" si="18"/>
        <v>-36.996156474070737</v>
      </c>
    </row>
    <row r="107" spans="1:17" x14ac:dyDescent="0.3">
      <c r="B107" s="2">
        <v>6</v>
      </c>
      <c r="C107" s="2">
        <v>-4.4200000000000003E-3</v>
      </c>
      <c r="D107" s="2">
        <v>7.452</v>
      </c>
      <c r="E107" s="2">
        <v>8.0939999999999994E-5</v>
      </c>
      <c r="F107" s="1">
        <f t="shared" si="13"/>
        <v>-36.377836489560465</v>
      </c>
      <c r="G107" s="1">
        <f t="shared" si="14"/>
        <v>0.62229442298752158</v>
      </c>
      <c r="H107" s="1">
        <f t="shared" si="15"/>
        <v>-37.000130912547988</v>
      </c>
      <c r="J107" s="3"/>
      <c r="K107" s="2">
        <v>6</v>
      </c>
      <c r="L107" s="2">
        <v>6.0080000000000003E-3</v>
      </c>
      <c r="M107" s="2">
        <v>1.1759999999999999</v>
      </c>
      <c r="N107" s="2">
        <v>8.4089999999999998E-3</v>
      </c>
      <c r="O107" s="1">
        <f t="shared" si="16"/>
        <v>45.03817173286884</v>
      </c>
      <c r="P107" s="1">
        <f t="shared" si="17"/>
        <v>82.038809912767206</v>
      </c>
      <c r="Q107" s="1">
        <f t="shared" si="18"/>
        <v>-37.000638179898367</v>
      </c>
    </row>
    <row r="108" spans="1:17" x14ac:dyDescent="0.3">
      <c r="B108" s="2">
        <v>7</v>
      </c>
      <c r="C108" s="2">
        <v>-3.2230000000000002E-3</v>
      </c>
      <c r="D108" s="2">
        <v>7.53</v>
      </c>
      <c r="E108" s="2">
        <v>1.639E-3</v>
      </c>
      <c r="F108" s="1">
        <f t="shared" si="13"/>
        <v>-24.722693795149716</v>
      </c>
      <c r="G108" s="1">
        <f t="shared" si="14"/>
        <v>12.27962005794641</v>
      </c>
      <c r="H108" s="1">
        <f t="shared" si="15"/>
        <v>-37.002313853096126</v>
      </c>
      <c r="J108" s="3"/>
      <c r="K108" s="2">
        <v>7</v>
      </c>
      <c r="L108" s="2">
        <v>7.319E-3</v>
      </c>
      <c r="M108" s="2">
        <v>1.1859999999999999</v>
      </c>
      <c r="N108" s="2">
        <v>1.0059999999999999E-2</v>
      </c>
      <c r="O108" s="1">
        <f t="shared" si="16"/>
        <v>46.276229541148503</v>
      </c>
      <c r="P108" s="1">
        <f t="shared" si="17"/>
        <v>83.276284681743832</v>
      </c>
      <c r="Q108" s="1">
        <f t="shared" si="18"/>
        <v>-37.000055140595329</v>
      </c>
    </row>
    <row r="109" spans="1:17" x14ac:dyDescent="0.3">
      <c r="B109" s="2">
        <v>8</v>
      </c>
      <c r="C109" s="2">
        <v>-1.926E-3</v>
      </c>
      <c r="D109" s="2">
        <v>7.548</v>
      </c>
      <c r="E109" s="2">
        <v>3.277E-3</v>
      </c>
      <c r="F109" s="1">
        <f t="shared" si="13"/>
        <v>-13.536357822225774</v>
      </c>
      <c r="G109" s="1">
        <f t="shared" si="14"/>
        <v>23.468303921146738</v>
      </c>
      <c r="H109" s="1">
        <f t="shared" si="15"/>
        <v>-37.004661743372509</v>
      </c>
      <c r="J109" s="3"/>
      <c r="K109" s="2">
        <v>8</v>
      </c>
      <c r="L109" s="2">
        <v>8.633E-3</v>
      </c>
      <c r="M109" s="2">
        <v>1.194</v>
      </c>
      <c r="N109" s="2">
        <v>1.171E-2</v>
      </c>
      <c r="O109" s="1">
        <f t="shared" si="16"/>
        <v>47.179446535735522</v>
      </c>
      <c r="P109" s="1">
        <f t="shared" si="17"/>
        <v>84.17800634614062</v>
      </c>
      <c r="Q109" s="1">
        <f t="shared" si="18"/>
        <v>-36.998559810405098</v>
      </c>
    </row>
    <row r="110" spans="1:17" x14ac:dyDescent="0.3">
      <c r="B110" s="2">
        <v>9</v>
      </c>
      <c r="C110" s="2">
        <v>-6.1629999999999996E-4</v>
      </c>
      <c r="D110" s="2">
        <v>7.5590000000000002</v>
      </c>
      <c r="E110" s="2">
        <v>4.9240000000000004E-3</v>
      </c>
      <c r="F110" s="1">
        <f t="shared" si="13"/>
        <v>-3.9173721732753499</v>
      </c>
      <c r="G110" s="1">
        <f t="shared" si="14"/>
        <v>33.08057968752432</v>
      </c>
      <c r="H110" s="1">
        <f t="shared" si="15"/>
        <v>-36.997951860799674</v>
      </c>
      <c r="J110" s="3"/>
      <c r="K110" s="2">
        <v>9</v>
      </c>
      <c r="L110" s="2">
        <v>9.9480000000000002E-3</v>
      </c>
      <c r="M110" s="2">
        <v>1.2</v>
      </c>
      <c r="N110" s="2">
        <v>1.336E-2</v>
      </c>
      <c r="O110" s="1">
        <f t="shared" si="16"/>
        <v>47.864215004673738</v>
      </c>
      <c r="P110" s="1">
        <f t="shared" si="17"/>
        <v>84.867445560127038</v>
      </c>
      <c r="Q110" s="1">
        <f t="shared" si="18"/>
        <v>-37.0032305554533</v>
      </c>
    </row>
    <row r="111" spans="1:17" x14ac:dyDescent="0.3">
      <c r="B111" s="2">
        <v>10</v>
      </c>
      <c r="C111" s="2">
        <v>6.9800000000000005E-4</v>
      </c>
      <c r="D111" s="2">
        <v>7.5659999999999998</v>
      </c>
      <c r="E111" s="2">
        <v>6.5760000000000002E-3</v>
      </c>
      <c r="F111" s="1">
        <f t="shared" si="13"/>
        <v>3.9927695021588354</v>
      </c>
      <c r="G111" s="1">
        <f t="shared" si="14"/>
        <v>40.995585156947357</v>
      </c>
      <c r="H111" s="1">
        <f t="shared" si="15"/>
        <v>-37.00281565478852</v>
      </c>
      <c r="J111" s="3"/>
      <c r="K111" s="2">
        <v>10</v>
      </c>
      <c r="L111" s="2">
        <v>1.1270000000000001E-2</v>
      </c>
      <c r="M111" s="2">
        <v>1.2070000000000001</v>
      </c>
      <c r="N111" s="2">
        <v>1.502E-2</v>
      </c>
      <c r="O111" s="1">
        <f t="shared" si="16"/>
        <v>48.416988813931738</v>
      </c>
      <c r="P111" s="1">
        <f t="shared" si="17"/>
        <v>85.405611305960022</v>
      </c>
      <c r="Q111" s="1">
        <f t="shared" si="18"/>
        <v>-36.988622492028284</v>
      </c>
    </row>
    <row r="112" spans="1:17" x14ac:dyDescent="0.3">
      <c r="B112" s="2">
        <v>11</v>
      </c>
      <c r="C112" s="2">
        <v>2.0149999999999999E-3</v>
      </c>
      <c r="D112" s="2">
        <v>7.5720000000000001</v>
      </c>
      <c r="E112" s="2">
        <v>8.2290000000000002E-3</v>
      </c>
      <c r="F112" s="1">
        <f t="shared" si="13"/>
        <v>10.380458706881122</v>
      </c>
      <c r="G112" s="1">
        <f t="shared" si="14"/>
        <v>47.380966785622235</v>
      </c>
      <c r="H112" s="1">
        <f t="shared" si="15"/>
        <v>-37.000508078741113</v>
      </c>
      <c r="J112" s="3"/>
      <c r="K112" s="2">
        <v>11</v>
      </c>
      <c r="L112" s="2">
        <v>1.2579999999999999E-2</v>
      </c>
      <c r="M112" s="2">
        <v>1.212</v>
      </c>
      <c r="N112" s="2">
        <v>1.6670000000000001E-2</v>
      </c>
      <c r="O112" s="1">
        <f t="shared" si="16"/>
        <v>48.833427157190911</v>
      </c>
      <c r="P112" s="1">
        <f t="shared" si="17"/>
        <v>85.841600972075156</v>
      </c>
      <c r="Q112" s="1">
        <f t="shared" si="18"/>
        <v>-37.008173814884245</v>
      </c>
    </row>
    <row r="113" spans="2:17" x14ac:dyDescent="0.3">
      <c r="B113" s="2">
        <v>12</v>
      </c>
      <c r="C113" s="2">
        <v>3.3340000000000002E-3</v>
      </c>
      <c r="D113" s="2">
        <v>7.577</v>
      </c>
      <c r="E113" s="2">
        <v>9.8840000000000004E-3</v>
      </c>
      <c r="F113" s="1">
        <f t="shared" si="13"/>
        <v>15.527066037599864</v>
      </c>
      <c r="G113" s="1">
        <f t="shared" si="14"/>
        <v>52.526497862693823</v>
      </c>
      <c r="H113" s="1">
        <f t="shared" si="15"/>
        <v>-36.999431825093957</v>
      </c>
      <c r="J113" s="3"/>
      <c r="K113" s="2">
        <v>12</v>
      </c>
      <c r="L113" s="2">
        <v>1.3899999999999999E-2</v>
      </c>
      <c r="M113" s="2">
        <v>1.2170000000000001</v>
      </c>
      <c r="N113" s="2">
        <v>1.8319999999999999E-2</v>
      </c>
      <c r="O113" s="1">
        <f t="shared" si="16"/>
        <v>49.195649691780616</v>
      </c>
      <c r="P113" s="1">
        <f t="shared" si="17"/>
        <v>86.199417905647792</v>
      </c>
      <c r="Q113" s="1">
        <f t="shared" si="18"/>
        <v>-37.003768213867176</v>
      </c>
    </row>
    <row r="114" spans="2:17" x14ac:dyDescent="0.3">
      <c r="B114" s="2">
        <v>13</v>
      </c>
      <c r="C114" s="2">
        <v>4.6540000000000002E-3</v>
      </c>
      <c r="D114" s="2">
        <v>7.5810000000000004</v>
      </c>
      <c r="E114" s="2">
        <v>1.154E-2</v>
      </c>
      <c r="F114" s="1">
        <f t="shared" si="13"/>
        <v>19.697367390655568</v>
      </c>
      <c r="G114" s="1">
        <f t="shared" si="14"/>
        <v>56.697791193143139</v>
      </c>
      <c r="H114" s="1">
        <f t="shared" si="15"/>
        <v>-37.000423802487575</v>
      </c>
      <c r="J114" s="3"/>
      <c r="K114" s="2">
        <v>13</v>
      </c>
      <c r="L114" s="2">
        <v>1.5219999999999999E-2</v>
      </c>
      <c r="M114" s="2">
        <v>1.222</v>
      </c>
      <c r="N114" s="2">
        <v>1.9980000000000001E-2</v>
      </c>
      <c r="O114" s="1">
        <f t="shared" si="16"/>
        <v>49.498058509148578</v>
      </c>
      <c r="P114" s="1">
        <f t="shared" si="17"/>
        <v>86.500083282389738</v>
      </c>
      <c r="Q114" s="1">
        <f t="shared" si="18"/>
        <v>-37.00202477324116</v>
      </c>
    </row>
    <row r="115" spans="2:17" x14ac:dyDescent="0.3">
      <c r="B115" s="2">
        <v>14</v>
      </c>
      <c r="C115" s="2">
        <v>5.9750000000000003E-3</v>
      </c>
      <c r="D115" s="2">
        <v>7.585</v>
      </c>
      <c r="E115" s="2">
        <v>1.32E-2</v>
      </c>
      <c r="F115" s="1">
        <f t="shared" si="13"/>
        <v>23.112097058412505</v>
      </c>
      <c r="G115" s="1">
        <f t="shared" si="14"/>
        <v>60.117411171603855</v>
      </c>
      <c r="H115" s="1">
        <f t="shared" si="15"/>
        <v>-37.005314113191346</v>
      </c>
      <c r="J115" s="3"/>
      <c r="K115" s="2">
        <v>14</v>
      </c>
      <c r="L115" s="2">
        <v>1.6539999999999999E-2</v>
      </c>
      <c r="M115" s="2">
        <v>1.226</v>
      </c>
      <c r="N115" s="2">
        <v>2.164E-2</v>
      </c>
      <c r="O115" s="1">
        <f t="shared" si="16"/>
        <v>49.75432580882142</v>
      </c>
      <c r="P115" s="1">
        <f t="shared" si="17"/>
        <v>86.757411505579313</v>
      </c>
      <c r="Q115" s="1">
        <f t="shared" si="18"/>
        <v>-37.003085696757893</v>
      </c>
    </row>
    <row r="116" spans="2:17" x14ac:dyDescent="0.3">
      <c r="B116" s="2">
        <v>15</v>
      </c>
      <c r="C116" s="2">
        <v>7.2969999999999997E-3</v>
      </c>
      <c r="D116" s="2">
        <v>7.5880000000000001</v>
      </c>
      <c r="E116" s="2">
        <v>1.485E-2</v>
      </c>
      <c r="F116" s="1">
        <f t="shared" si="13"/>
        <v>25.941377216035168</v>
      </c>
      <c r="G116" s="1">
        <f t="shared" si="14"/>
        <v>62.934038389464398</v>
      </c>
      <c r="H116" s="1">
        <f t="shared" si="15"/>
        <v>-36.992661173429227</v>
      </c>
      <c r="J116" s="3"/>
      <c r="K116" s="2">
        <v>15</v>
      </c>
      <c r="L116" s="2">
        <v>1.7860000000000001E-2</v>
      </c>
      <c r="M116" s="2">
        <v>1.23</v>
      </c>
      <c r="N116" s="2">
        <v>2.3290000000000002E-2</v>
      </c>
      <c r="O116" s="1">
        <f t="shared" si="16"/>
        <v>49.974255169034357</v>
      </c>
      <c r="P116" s="1">
        <f t="shared" si="17"/>
        <v>86.976882883180025</v>
      </c>
      <c r="Q116" s="1">
        <f t="shared" si="18"/>
        <v>-37.002627714145667</v>
      </c>
    </row>
    <row r="117" spans="2:17" x14ac:dyDescent="0.3">
      <c r="B117" s="2">
        <v>16</v>
      </c>
      <c r="C117" s="2">
        <v>8.6189999999999999E-3</v>
      </c>
      <c r="D117" s="2">
        <v>7.5910000000000002</v>
      </c>
      <c r="E117" s="2">
        <v>1.651E-2</v>
      </c>
      <c r="F117" s="1">
        <f t="shared" si="13"/>
        <v>28.310791436645385</v>
      </c>
      <c r="G117" s="1">
        <f t="shared" si="14"/>
        <v>65.30788205338753</v>
      </c>
      <c r="H117" s="1">
        <f t="shared" si="15"/>
        <v>-36.997090616742142</v>
      </c>
      <c r="J117" s="3"/>
      <c r="K117" s="2">
        <v>16</v>
      </c>
      <c r="L117" s="2">
        <v>1.9179999999999999E-2</v>
      </c>
      <c r="M117" s="2">
        <v>1.234</v>
      </c>
      <c r="N117" s="2">
        <v>2.495E-2</v>
      </c>
      <c r="O117" s="1">
        <f t="shared" si="16"/>
        <v>50.165058508670548</v>
      </c>
      <c r="P117" s="1">
        <f t="shared" si="17"/>
        <v>87.168520018806177</v>
      </c>
      <c r="Q117" s="1">
        <f t="shared" si="18"/>
        <v>-37.003461510135629</v>
      </c>
    </row>
    <row r="118" spans="2:17" x14ac:dyDescent="0.3">
      <c r="B118" s="2">
        <v>17</v>
      </c>
      <c r="C118" s="2">
        <v>9.9419999999999994E-3</v>
      </c>
      <c r="D118" s="2">
        <v>7.5940000000000003</v>
      </c>
      <c r="E118" s="2">
        <v>1.8169999999999999E-2</v>
      </c>
      <c r="F118" s="1">
        <f t="shared" si="13"/>
        <v>30.320100510692587</v>
      </c>
      <c r="G118" s="1">
        <f t="shared" si="14"/>
        <v>67.317917871208991</v>
      </c>
      <c r="H118" s="1">
        <f t="shared" si="15"/>
        <v>-36.997817360516407</v>
      </c>
      <c r="J118" s="3"/>
      <c r="K118" s="2">
        <v>17</v>
      </c>
      <c r="L118" s="2">
        <v>2.0500000000000001E-2</v>
      </c>
      <c r="M118" s="2">
        <v>1.2370000000000001</v>
      </c>
      <c r="N118" s="2">
        <v>2.6610000000000002E-2</v>
      </c>
      <c r="O118" s="1">
        <f t="shared" si="16"/>
        <v>50.332158881659552</v>
      </c>
      <c r="P118" s="1">
        <f t="shared" si="17"/>
        <v>87.338448236993386</v>
      </c>
      <c r="Q118" s="1">
        <f t="shared" si="18"/>
        <v>-37.006289355333834</v>
      </c>
    </row>
    <row r="119" spans="2:17" x14ac:dyDescent="0.3">
      <c r="B119" s="2">
        <v>18</v>
      </c>
      <c r="C119" s="2">
        <v>1.1259999999999999E-2</v>
      </c>
      <c r="D119" s="2">
        <v>7.5960000000000001</v>
      </c>
      <c r="E119" s="2">
        <v>1.983E-2</v>
      </c>
      <c r="F119" s="1">
        <f t="shared" si="13"/>
        <v>32.028267192693164</v>
      </c>
      <c r="G119" s="1">
        <f t="shared" si="14"/>
        <v>69.04036329983488</v>
      </c>
      <c r="H119" s="1">
        <f t="shared" si="15"/>
        <v>-37.012096107141716</v>
      </c>
      <c r="J119" s="3"/>
      <c r="K119" s="2">
        <v>18</v>
      </c>
      <c r="L119" s="2">
        <v>2.1829999999999999E-2</v>
      </c>
      <c r="M119" s="2">
        <v>1.24</v>
      </c>
      <c r="N119" s="2">
        <v>2.826E-2</v>
      </c>
      <c r="O119" s="1">
        <f t="shared" si="16"/>
        <v>50.492598658956894</v>
      </c>
      <c r="P119" s="1">
        <f t="shared" si="17"/>
        <v>87.487571702733078</v>
      </c>
      <c r="Q119" s="1">
        <f t="shared" si="18"/>
        <v>-36.994973043776184</v>
      </c>
    </row>
    <row r="120" spans="2:17" x14ac:dyDescent="0.3">
      <c r="B120" s="2">
        <v>19</v>
      </c>
      <c r="C120" s="2">
        <v>1.259E-2</v>
      </c>
      <c r="D120" s="2">
        <v>7.5979999999999999</v>
      </c>
      <c r="E120" s="2">
        <v>2.1489999999999999E-2</v>
      </c>
      <c r="F120" s="1">
        <f t="shared" si="13"/>
        <v>33.529712270677884</v>
      </c>
      <c r="G120" s="1">
        <f t="shared" si="14"/>
        <v>70.52845317949361</v>
      </c>
      <c r="H120" s="1">
        <f t="shared" si="15"/>
        <v>-36.998740908815726</v>
      </c>
      <c r="J120" s="3"/>
      <c r="K120" s="2">
        <v>19</v>
      </c>
      <c r="L120" s="2">
        <v>2.315E-2</v>
      </c>
      <c r="M120" s="2">
        <v>1.244</v>
      </c>
      <c r="N120" s="2">
        <v>2.9919999999999999E-2</v>
      </c>
      <c r="O120" s="1">
        <f t="shared" si="16"/>
        <v>50.623098182173976</v>
      </c>
      <c r="P120" s="1">
        <f t="shared" si="17"/>
        <v>87.619153713992262</v>
      </c>
      <c r="Q120" s="1">
        <f t="shared" si="18"/>
        <v>-36.996055531818286</v>
      </c>
    </row>
    <row r="121" spans="2:17" x14ac:dyDescent="0.3">
      <c r="B121" s="2">
        <v>20</v>
      </c>
      <c r="C121" s="2">
        <v>1.391E-2</v>
      </c>
      <c r="D121" s="2">
        <v>7.6</v>
      </c>
      <c r="E121" s="2">
        <v>2.315E-2</v>
      </c>
      <c r="F121" s="1">
        <f t="shared" si="13"/>
        <v>34.818613183340034</v>
      </c>
      <c r="G121" s="1">
        <f t="shared" si="14"/>
        <v>71.825315744252734</v>
      </c>
      <c r="H121" s="1">
        <f t="shared" si="15"/>
        <v>-37.0067025609127</v>
      </c>
      <c r="J121" s="3"/>
      <c r="K121" s="2">
        <v>20</v>
      </c>
      <c r="L121" s="2">
        <v>2.4469999999999999E-2</v>
      </c>
      <c r="M121" s="2">
        <v>1.246</v>
      </c>
      <c r="N121" s="2">
        <v>3.1579999999999997E-2</v>
      </c>
      <c r="O121" s="1">
        <f t="shared" si="16"/>
        <v>50.739931757924523</v>
      </c>
      <c r="P121" s="1">
        <f t="shared" si="17"/>
        <v>87.740546843089831</v>
      </c>
      <c r="Q121" s="1">
        <f t="shared" si="18"/>
        <v>-37.000615085165308</v>
      </c>
    </row>
    <row r="122" spans="2:17" x14ac:dyDescent="0.3">
      <c r="B122" s="2">
        <v>21</v>
      </c>
      <c r="C122" s="2">
        <v>1.524E-2</v>
      </c>
      <c r="D122" s="2">
        <v>7.6020000000000003</v>
      </c>
      <c r="E122" s="2">
        <v>2.4809999999999999E-2</v>
      </c>
      <c r="F122" s="1">
        <f t="shared" si="13"/>
        <v>35.968928203559372</v>
      </c>
      <c r="G122" s="1">
        <f t="shared" si="14"/>
        <v>72.964479554368211</v>
      </c>
      <c r="H122" s="1">
        <f t="shared" si="15"/>
        <v>-36.995551350808839</v>
      </c>
      <c r="J122" s="3"/>
      <c r="K122" s="2">
        <v>21</v>
      </c>
      <c r="L122" s="2">
        <v>2.579E-2</v>
      </c>
      <c r="M122" s="2">
        <v>1.2490000000000001</v>
      </c>
      <c r="N122" s="2">
        <v>3.3239999999999999E-2</v>
      </c>
      <c r="O122" s="1">
        <f t="shared" si="16"/>
        <v>50.845138396250853</v>
      </c>
      <c r="P122" s="1">
        <f t="shared" si="17"/>
        <v>87.848111385839715</v>
      </c>
      <c r="Q122" s="1">
        <f t="shared" si="18"/>
        <v>-37.002972989588862</v>
      </c>
    </row>
    <row r="123" spans="2:17" x14ac:dyDescent="0.3">
      <c r="B123" s="2">
        <v>22</v>
      </c>
      <c r="C123" s="2">
        <v>1.6559999999999998E-2</v>
      </c>
      <c r="D123" s="2">
        <v>7.6040000000000001</v>
      </c>
      <c r="E123" s="2">
        <v>2.6460000000000001E-2</v>
      </c>
      <c r="F123" s="1">
        <f t="shared" si="13"/>
        <v>36.969773976139024</v>
      </c>
      <c r="G123" s="1">
        <f t="shared" si="14"/>
        <v>73.966557088684652</v>
      </c>
      <c r="H123" s="1">
        <f t="shared" si="15"/>
        <v>-36.996783112545629</v>
      </c>
      <c r="J123" s="3"/>
      <c r="K123" s="2">
        <v>22</v>
      </c>
      <c r="L123" s="2">
        <v>2.7109999999999999E-2</v>
      </c>
      <c r="M123" s="2">
        <v>1.252</v>
      </c>
      <c r="N123" s="2">
        <v>3.4889999999999997E-2</v>
      </c>
      <c r="O123" s="1">
        <f t="shared" si="16"/>
        <v>50.940370832370476</v>
      </c>
      <c r="P123" s="1">
        <f t="shared" si="17"/>
        <v>87.944868170731056</v>
      </c>
      <c r="Q123" s="1">
        <f t="shared" si="18"/>
        <v>-37.004497338360579</v>
      </c>
    </row>
    <row r="124" spans="2:17" x14ac:dyDescent="0.3">
      <c r="B124" s="2">
        <v>23</v>
      </c>
      <c r="C124" s="2">
        <v>1.788E-2</v>
      </c>
      <c r="D124" s="2">
        <v>7.6059999999999999</v>
      </c>
      <c r="E124" s="2">
        <v>2.8119999999999999E-2</v>
      </c>
      <c r="F124" s="1">
        <f t="shared" si="13"/>
        <v>37.861184089825265</v>
      </c>
      <c r="G124" s="1">
        <f t="shared" si="14"/>
        <v>74.864600248443324</v>
      </c>
      <c r="H124" s="1">
        <f t="shared" si="15"/>
        <v>-37.003416158618059</v>
      </c>
      <c r="J124" s="3"/>
      <c r="K124" s="2">
        <v>23</v>
      </c>
      <c r="L124" s="2">
        <v>2.844E-2</v>
      </c>
      <c r="M124" s="2">
        <v>1.254</v>
      </c>
      <c r="N124" s="2">
        <v>3.6549999999999999E-2</v>
      </c>
      <c r="O124" s="1">
        <f t="shared" si="16"/>
        <v>51.03683520140649</v>
      </c>
      <c r="P124" s="1">
        <f t="shared" si="17"/>
        <v>88.035000387522828</v>
      </c>
      <c r="Q124" s="1">
        <f t="shared" si="18"/>
        <v>-36.998165186116339</v>
      </c>
    </row>
    <row r="125" spans="2:17" x14ac:dyDescent="0.3">
      <c r="B125" s="2">
        <v>24</v>
      </c>
      <c r="C125" s="2">
        <v>1.9210000000000001E-2</v>
      </c>
      <c r="D125" s="2">
        <v>7.6079999999999997</v>
      </c>
      <c r="E125" s="2">
        <v>2.9780000000000001E-2</v>
      </c>
      <c r="F125" s="1">
        <f t="shared" si="13"/>
        <v>38.674362150219125</v>
      </c>
      <c r="G125" s="1">
        <f t="shared" si="14"/>
        <v>75.668979382281776</v>
      </c>
      <c r="H125" s="1">
        <f t="shared" si="15"/>
        <v>-36.994617232062652</v>
      </c>
      <c r="J125" s="3"/>
      <c r="K125" s="2">
        <v>24</v>
      </c>
      <c r="L125" s="2">
        <v>2.9760000000000002E-2</v>
      </c>
      <c r="M125" s="2">
        <v>1.2569999999999999</v>
      </c>
      <c r="N125" s="2">
        <v>3.8210000000000001E-2</v>
      </c>
      <c r="O125" s="1">
        <f t="shared" si="16"/>
        <v>51.115503566285405</v>
      </c>
      <c r="P125" s="1">
        <f t="shared" si="17"/>
        <v>88.115811806639385</v>
      </c>
      <c r="Q125" s="1">
        <f t="shared" si="18"/>
        <v>-37.000308240353981</v>
      </c>
    </row>
    <row r="126" spans="2:17" x14ac:dyDescent="0.3">
      <c r="B126" s="2">
        <v>25</v>
      </c>
      <c r="C126" s="2">
        <v>2.053E-2</v>
      </c>
      <c r="D126" s="2">
        <v>7.609</v>
      </c>
      <c r="E126" s="2">
        <v>3.1440000000000003E-2</v>
      </c>
      <c r="F126" s="1">
        <f t="shared" si="13"/>
        <v>39.392839981964357</v>
      </c>
      <c r="G126" s="1">
        <f t="shared" si="14"/>
        <v>76.395070225738991</v>
      </c>
      <c r="H126" s="1">
        <f t="shared" si="15"/>
        <v>-37.002230243774633</v>
      </c>
      <c r="J126" s="3"/>
      <c r="K126" s="2">
        <v>25</v>
      </c>
      <c r="L126" s="2">
        <v>3.108E-2</v>
      </c>
      <c r="M126" s="2">
        <v>1.2589999999999999</v>
      </c>
      <c r="N126" s="2">
        <v>3.9870000000000003E-2</v>
      </c>
      <c r="O126" s="1">
        <f t="shared" si="16"/>
        <v>51.187642654265304</v>
      </c>
      <c r="P126" s="1">
        <f t="shared" si="17"/>
        <v>88.191336237158055</v>
      </c>
      <c r="Q126" s="1">
        <f t="shared" si="18"/>
        <v>-37.003693582892751</v>
      </c>
    </row>
    <row r="127" spans="2:17" x14ac:dyDescent="0.3">
      <c r="B127" s="2">
        <v>26</v>
      </c>
      <c r="C127" s="2">
        <v>2.1860000000000001E-2</v>
      </c>
      <c r="D127" s="2">
        <v>7.6109999999999998</v>
      </c>
      <c r="E127" s="2">
        <v>3.3099999999999997E-2</v>
      </c>
      <c r="F127" s="1">
        <f t="shared" si="13"/>
        <v>40.056090054548569</v>
      </c>
      <c r="G127" s="1">
        <f t="shared" si="14"/>
        <v>77.050523573172967</v>
      </c>
      <c r="H127" s="1">
        <f t="shared" si="15"/>
        <v>-36.994433518624398</v>
      </c>
      <c r="J127" s="3"/>
      <c r="K127" s="2">
        <v>26</v>
      </c>
      <c r="L127" s="2">
        <v>3.2410000000000001E-2</v>
      </c>
      <c r="M127" s="2">
        <v>1.262</v>
      </c>
      <c r="N127" s="2">
        <v>4.1529999999999997E-2</v>
      </c>
      <c r="O127" s="1">
        <f t="shared" si="16"/>
        <v>51.262663206026502</v>
      </c>
      <c r="P127" s="1">
        <f t="shared" si="17"/>
        <v>88.25945028570807</v>
      </c>
      <c r="Q127" s="1">
        <f t="shared" si="18"/>
        <v>-36.996787079681567</v>
      </c>
    </row>
    <row r="128" spans="2:17" x14ac:dyDescent="0.3">
      <c r="B128" s="2">
        <v>27</v>
      </c>
      <c r="C128" s="2">
        <v>2.3179999999999999E-2</v>
      </c>
      <c r="D128" s="2">
        <v>7.6120000000000001</v>
      </c>
      <c r="E128" s="2">
        <v>3.4759999999999999E-2</v>
      </c>
      <c r="F128" s="1">
        <f t="shared" si="13"/>
        <v>40.646700946988091</v>
      </c>
      <c r="G128" s="1">
        <f t="shared" si="14"/>
        <v>77.647935685276536</v>
      </c>
      <c r="H128" s="1">
        <f t="shared" si="15"/>
        <v>-37.001234738288446</v>
      </c>
      <c r="J128" s="3"/>
      <c r="K128" s="2">
        <v>27</v>
      </c>
      <c r="L128" s="2">
        <v>3.3730000000000003E-2</v>
      </c>
      <c r="M128" s="2">
        <v>1.264</v>
      </c>
      <c r="N128" s="2">
        <v>4.3189999999999999E-2</v>
      </c>
      <c r="O128" s="1">
        <f t="shared" si="16"/>
        <v>51.323623293955166</v>
      </c>
      <c r="P128" s="1">
        <f t="shared" si="17"/>
        <v>88.323658266649616</v>
      </c>
      <c r="Q128" s="1">
        <f t="shared" si="18"/>
        <v>-37.000034972694451</v>
      </c>
    </row>
    <row r="129" spans="2:17" x14ac:dyDescent="0.3">
      <c r="B129" s="2">
        <v>28</v>
      </c>
      <c r="C129" s="2">
        <v>2.4510000000000001E-2</v>
      </c>
      <c r="D129" s="2">
        <v>7.6139999999999999</v>
      </c>
      <c r="E129" s="2">
        <v>3.6420000000000001E-2</v>
      </c>
      <c r="F129" s="1">
        <f t="shared" si="13"/>
        <v>41.197512652876405</v>
      </c>
      <c r="G129" s="1">
        <f t="shared" si="14"/>
        <v>78.191761377835135</v>
      </c>
      <c r="H129" s="1">
        <f t="shared" si="15"/>
        <v>-36.99424872495873</v>
      </c>
      <c r="J129" s="3"/>
      <c r="K129" s="2">
        <v>28</v>
      </c>
      <c r="L129" s="2">
        <v>3.5049999999999998E-2</v>
      </c>
      <c r="M129" s="2">
        <v>1.266</v>
      </c>
      <c r="N129" s="2">
        <v>4.4850000000000001E-2</v>
      </c>
      <c r="O129" s="1">
        <f t="shared" si="16"/>
        <v>51.380084362275142</v>
      </c>
      <c r="P129" s="1">
        <f t="shared" si="17"/>
        <v>88.383117041523491</v>
      </c>
      <c r="Q129" s="1">
        <f t="shared" si="18"/>
        <v>-37.003032679248349</v>
      </c>
    </row>
    <row r="130" spans="2:17" x14ac:dyDescent="0.3">
      <c r="B130" s="2">
        <v>29</v>
      </c>
      <c r="C130" s="2">
        <v>2.5829999999999999E-2</v>
      </c>
      <c r="D130" s="2">
        <v>7.6150000000000002</v>
      </c>
      <c r="E130" s="2">
        <v>3.8080000000000003E-2</v>
      </c>
      <c r="F130" s="1">
        <f t="shared" si="13"/>
        <v>41.691124246552207</v>
      </c>
      <c r="G130" s="1">
        <f t="shared" si="14"/>
        <v>78.691514279495962</v>
      </c>
      <c r="H130" s="1">
        <f t="shared" si="15"/>
        <v>-37.000390032943756</v>
      </c>
      <c r="J130" s="3"/>
      <c r="K130" s="2">
        <v>29</v>
      </c>
      <c r="L130" s="2">
        <v>3.6380000000000003E-2</v>
      </c>
      <c r="M130" s="2">
        <v>1.268</v>
      </c>
      <c r="N130" s="2">
        <v>4.65E-2</v>
      </c>
      <c r="O130" s="1">
        <f t="shared" si="16"/>
        <v>51.440204418238729</v>
      </c>
      <c r="P130" s="1">
        <f t="shared" si="17"/>
        <v>88.437998947089554</v>
      </c>
      <c r="Q130" s="1">
        <f t="shared" si="18"/>
        <v>-36.997794528850825</v>
      </c>
    </row>
    <row r="131" spans="2:17" x14ac:dyDescent="0.3">
      <c r="B131" s="2">
        <v>30</v>
      </c>
      <c r="C131" s="2">
        <v>2.716E-2</v>
      </c>
      <c r="D131" s="2">
        <v>7.6159999999999997</v>
      </c>
      <c r="E131" s="2">
        <v>3.9739999999999998E-2</v>
      </c>
      <c r="F131" s="1">
        <f t="shared" si="13"/>
        <v>42.155592819284813</v>
      </c>
      <c r="G131" s="1">
        <f t="shared" si="14"/>
        <v>79.151054272920149</v>
      </c>
      <c r="H131" s="1">
        <f t="shared" si="15"/>
        <v>-36.995461453635336</v>
      </c>
      <c r="J131" s="3"/>
      <c r="K131" s="2">
        <v>30</v>
      </c>
      <c r="L131" s="2">
        <v>3.7699999999999997E-2</v>
      </c>
      <c r="M131" s="2">
        <v>1.27</v>
      </c>
      <c r="N131" s="2">
        <v>4.8160000000000001E-2</v>
      </c>
      <c r="O131" s="1">
        <f t="shared" si="16"/>
        <v>51.488770419705077</v>
      </c>
      <c r="P131" s="1">
        <f t="shared" si="17"/>
        <v>88.48943563230506</v>
      </c>
      <c r="Q131" s="1">
        <f t="shared" si="18"/>
        <v>-37.000665212599984</v>
      </c>
    </row>
    <row r="132" spans="2:17" ht="14.5" x14ac:dyDescent="0.3">
      <c r="G132" s="1" t="s">
        <v>9</v>
      </c>
      <c r="H132" s="1">
        <f>AVERAGE(H2:H131)</f>
        <v>-37.024419232599762</v>
      </c>
      <c r="P132" s="5" t="s">
        <v>10</v>
      </c>
      <c r="Q132" s="1">
        <f>AVERAGE(Q2:Q131)</f>
        <v>-37.024959308317484</v>
      </c>
    </row>
    <row r="140" spans="2:17" x14ac:dyDescent="0.3">
      <c r="B140" s="2">
        <v>31</v>
      </c>
      <c r="C140" s="2">
        <v>2.8479999999999998E-2</v>
      </c>
      <c r="D140" s="2">
        <v>7.617</v>
      </c>
      <c r="E140" s="2">
        <v>4.1399999999999999E-2</v>
      </c>
      <c r="F140" s="1">
        <f t="shared" ref="F140:F174" si="19">DEGREES(ATAN2(B140,C140*1000))</f>
        <v>42.573990118184661</v>
      </c>
      <c r="G140" s="1">
        <f t="shared" ref="G140:G174" si="20">DEGREES(ATAN2(D140,E140*1000))</f>
        <v>79.574994657303094</v>
      </c>
      <c r="H140" s="1">
        <f t="shared" ref="H140:H174" si="21">F140-G140</f>
        <v>-37.001004539118433</v>
      </c>
      <c r="K140" s="2">
        <v>31</v>
      </c>
      <c r="L140" s="2">
        <v>3.9019999999999999E-2</v>
      </c>
      <c r="M140" s="2">
        <v>1.272</v>
      </c>
      <c r="N140" s="2">
        <v>4.9820000000000003E-2</v>
      </c>
      <c r="O140" s="1">
        <f>DEGREES(ATAN2(K140,L140*1000))</f>
        <v>51.534109657536561</v>
      </c>
      <c r="P140" s="1">
        <f>DEGREES(ATAN2(M140,N140*1000))</f>
        <v>88.537446780902158</v>
      </c>
      <c r="Q140" s="1">
        <f>O140-P140</f>
        <v>-37.003337123365597</v>
      </c>
    </row>
    <row r="141" spans="2:17" x14ac:dyDescent="0.3">
      <c r="B141" s="2">
        <v>32</v>
      </c>
      <c r="C141" s="2">
        <v>2.981E-2</v>
      </c>
      <c r="D141" s="2">
        <v>7.6189999999999998</v>
      </c>
      <c r="E141" s="2">
        <v>4.3060000000000001E-2</v>
      </c>
      <c r="F141" s="1">
        <f t="shared" si="19"/>
        <v>42.970792917573235</v>
      </c>
      <c r="G141" s="1">
        <f t="shared" si="20"/>
        <v>79.96598622081062</v>
      </c>
      <c r="H141" s="1">
        <f t="shared" si="21"/>
        <v>-36.995193303237386</v>
      </c>
      <c r="K141" s="2">
        <v>32</v>
      </c>
      <c r="L141" s="2">
        <v>4.0349999999999997E-2</v>
      </c>
      <c r="M141" s="2">
        <v>1.274</v>
      </c>
      <c r="N141" s="2">
        <v>5.1479999999999998E-2</v>
      </c>
      <c r="O141" s="1">
        <f t="shared" ref="O141:O174" si="22">DEGREES(ATAN2(K141,L141*1000))</f>
        <v>51.583447574137693</v>
      </c>
      <c r="P141" s="1">
        <f t="shared" ref="P141:P174" si="23">DEGREES(ATAN2(M141,N141*1000))</f>
        <v>88.582363500701206</v>
      </c>
      <c r="Q141" s="1">
        <f t="shared" ref="Q141:Q174" si="24">O141-P141</f>
        <v>-36.998915926563512</v>
      </c>
    </row>
    <row r="142" spans="2:17" x14ac:dyDescent="0.3">
      <c r="B142" s="2">
        <v>33</v>
      </c>
      <c r="C142" s="2">
        <v>3.1130000000000001E-2</v>
      </c>
      <c r="D142" s="2">
        <v>7.62</v>
      </c>
      <c r="E142" s="2">
        <v>4.4720000000000003E-2</v>
      </c>
      <c r="F142" s="1">
        <f t="shared" si="19"/>
        <v>43.32975587019282</v>
      </c>
      <c r="G142" s="1">
        <f t="shared" si="20"/>
        <v>80.330040158107067</v>
      </c>
      <c r="H142" s="1">
        <f t="shared" si="21"/>
        <v>-37.000284287914248</v>
      </c>
      <c r="K142" s="2">
        <v>33</v>
      </c>
      <c r="L142" s="2">
        <v>4.1669999999999999E-2</v>
      </c>
      <c r="M142" s="2">
        <v>1.2749999999999999</v>
      </c>
      <c r="N142" s="2">
        <v>5.314E-2</v>
      </c>
      <c r="O142" s="1">
        <f t="shared" si="22"/>
        <v>51.623006871003852</v>
      </c>
      <c r="P142" s="1">
        <f t="shared" si="23"/>
        <v>88.625553149614277</v>
      </c>
      <c r="Q142" s="1">
        <f t="shared" si="24"/>
        <v>-37.002546278610424</v>
      </c>
    </row>
    <row r="143" spans="2:17" x14ac:dyDescent="0.3">
      <c r="B143" s="2">
        <v>34</v>
      </c>
      <c r="C143" s="2">
        <v>3.2460000000000003E-2</v>
      </c>
      <c r="D143" s="2">
        <v>7.6210000000000004</v>
      </c>
      <c r="E143" s="2">
        <v>4.6379999999999998E-2</v>
      </c>
      <c r="F143" s="1">
        <f t="shared" si="19"/>
        <v>43.672589327002335</v>
      </c>
      <c r="G143" s="1">
        <f t="shared" si="20"/>
        <v>80.668741952096525</v>
      </c>
      <c r="H143" s="1">
        <f t="shared" si="21"/>
        <v>-36.99615262509419</v>
      </c>
      <c r="K143" s="2">
        <v>34</v>
      </c>
      <c r="L143" s="2">
        <v>4.2999999999999997E-2</v>
      </c>
      <c r="M143" s="2">
        <v>1.2769999999999999</v>
      </c>
      <c r="N143" s="2">
        <v>5.4800000000000001E-2</v>
      </c>
      <c r="O143" s="1">
        <f t="shared" si="22"/>
        <v>51.666659890901371</v>
      </c>
      <c r="P143" s="1">
        <f t="shared" si="23"/>
        <v>88.665082647057659</v>
      </c>
      <c r="Q143" s="1">
        <f t="shared" si="24"/>
        <v>-36.998422756156288</v>
      </c>
    </row>
    <row r="144" spans="2:17" x14ac:dyDescent="0.3">
      <c r="B144" s="2">
        <v>35</v>
      </c>
      <c r="C144" s="2">
        <v>3.3779999999999998E-2</v>
      </c>
      <c r="D144" s="2">
        <v>7.6219999999999999</v>
      </c>
      <c r="E144" s="2">
        <v>4.8039999999999999E-2</v>
      </c>
      <c r="F144" s="1">
        <f t="shared" si="19"/>
        <v>43.983810388157615</v>
      </c>
      <c r="G144" s="1">
        <f t="shared" si="20"/>
        <v>80.98462933279977</v>
      </c>
      <c r="H144" s="1">
        <f t="shared" si="21"/>
        <v>-37.000818944642155</v>
      </c>
      <c r="K144" s="2">
        <v>35</v>
      </c>
      <c r="L144" s="2">
        <v>4.4319999999999998E-2</v>
      </c>
      <c r="M144" s="2">
        <v>1.2789999999999999</v>
      </c>
      <c r="N144" s="2">
        <v>5.6460000000000003E-2</v>
      </c>
      <c r="O144" s="1">
        <f t="shared" si="22"/>
        <v>51.701454594703662</v>
      </c>
      <c r="P144" s="1">
        <f t="shared" si="23"/>
        <v>88.702288865470592</v>
      </c>
      <c r="Q144" s="1">
        <f t="shared" si="24"/>
        <v>-37.00083427076693</v>
      </c>
    </row>
    <row r="145" spans="2:17" x14ac:dyDescent="0.3">
      <c r="B145" s="2">
        <v>36</v>
      </c>
      <c r="C145" s="2">
        <v>3.5110000000000002E-2</v>
      </c>
      <c r="D145" s="2">
        <v>7.6230000000000002</v>
      </c>
      <c r="E145" s="2">
        <v>4.9700000000000001E-2</v>
      </c>
      <c r="F145" s="1">
        <f t="shared" si="19"/>
        <v>44.282933745019633</v>
      </c>
      <c r="G145" s="1">
        <f t="shared" si="20"/>
        <v>81.279914901958719</v>
      </c>
      <c r="H145" s="1">
        <f t="shared" si="21"/>
        <v>-36.996981156939086</v>
      </c>
      <c r="K145" s="2">
        <v>36</v>
      </c>
      <c r="L145" s="2">
        <v>4.5650000000000003E-2</v>
      </c>
      <c r="M145" s="2">
        <v>1.28</v>
      </c>
      <c r="N145" s="2">
        <v>5.8119999999999998E-2</v>
      </c>
      <c r="O145" s="1">
        <f t="shared" si="22"/>
        <v>51.740370669672458</v>
      </c>
      <c r="P145" s="1">
        <f t="shared" si="23"/>
        <v>88.738356089423476</v>
      </c>
      <c r="Q145" s="1">
        <f t="shared" si="24"/>
        <v>-36.997985419751018</v>
      </c>
    </row>
    <row r="146" spans="2:17" x14ac:dyDescent="0.3">
      <c r="B146" s="2">
        <v>37</v>
      </c>
      <c r="C146" s="2">
        <v>3.6429999999999997E-2</v>
      </c>
      <c r="D146" s="2">
        <v>7.6239999999999997</v>
      </c>
      <c r="E146" s="2">
        <v>5.1360000000000003E-2</v>
      </c>
      <c r="F146" s="1">
        <f t="shared" si="19"/>
        <v>44.555250736975914</v>
      </c>
      <c r="G146" s="1">
        <f t="shared" si="20"/>
        <v>81.556536190572032</v>
      </c>
      <c r="H146" s="1">
        <f t="shared" si="21"/>
        <v>-37.001285453596118</v>
      </c>
      <c r="K146" s="2">
        <v>37</v>
      </c>
      <c r="L146" s="2">
        <v>4.6969999999999998E-2</v>
      </c>
      <c r="M146" s="2">
        <v>1.282</v>
      </c>
      <c r="N146" s="2">
        <v>5.978E-2</v>
      </c>
      <c r="O146" s="1">
        <f t="shared" si="22"/>
        <v>51.771192745037709</v>
      </c>
      <c r="P146" s="1">
        <f t="shared" si="23"/>
        <v>88.771463164155577</v>
      </c>
      <c r="Q146" s="1">
        <f t="shared" si="24"/>
        <v>-37.000270419117868</v>
      </c>
    </row>
    <row r="147" spans="2:17" x14ac:dyDescent="0.3">
      <c r="B147" s="2">
        <v>38</v>
      </c>
      <c r="C147" s="2">
        <v>3.7760000000000002E-2</v>
      </c>
      <c r="D147" s="2">
        <v>7.625</v>
      </c>
      <c r="E147" s="2">
        <v>5.3019999999999998E-2</v>
      </c>
      <c r="F147" s="1">
        <f t="shared" si="19"/>
        <v>44.818493385906841</v>
      </c>
      <c r="G147" s="1">
        <f t="shared" si="20"/>
        <v>81.816196813477632</v>
      </c>
      <c r="H147" s="1">
        <f t="shared" si="21"/>
        <v>-36.997703427570791</v>
      </c>
      <c r="K147" s="2">
        <v>38</v>
      </c>
      <c r="L147" s="2">
        <v>4.829E-2</v>
      </c>
      <c r="M147" s="2">
        <v>1.284</v>
      </c>
      <c r="N147" s="2">
        <v>6.1440000000000002E-2</v>
      </c>
      <c r="O147" s="1">
        <f t="shared" si="22"/>
        <v>51.800353826021407</v>
      </c>
      <c r="P147" s="1">
        <f t="shared" si="23"/>
        <v>88.802782005404936</v>
      </c>
      <c r="Q147" s="1">
        <f t="shared" si="24"/>
        <v>-37.002428179383529</v>
      </c>
    </row>
    <row r="148" spans="2:17" x14ac:dyDescent="0.3">
      <c r="B148" s="2">
        <v>39</v>
      </c>
      <c r="C148" s="2">
        <v>3.9079999999999997E-2</v>
      </c>
      <c r="D148" s="2">
        <v>7.6260000000000003</v>
      </c>
      <c r="E148" s="2">
        <v>5.4679999999999999E-2</v>
      </c>
      <c r="F148" s="1">
        <f t="shared" si="19"/>
        <v>45.05870467158163</v>
      </c>
      <c r="G148" s="1">
        <f t="shared" si="20"/>
        <v>82.060400501364626</v>
      </c>
      <c r="H148" s="1">
        <f t="shared" si="21"/>
        <v>-37.001695829782996</v>
      </c>
      <c r="K148" s="2">
        <v>39</v>
      </c>
      <c r="L148" s="2">
        <v>4.9619999999999997E-2</v>
      </c>
      <c r="M148" s="2">
        <v>1.2849999999999999</v>
      </c>
      <c r="N148" s="2">
        <v>6.3100000000000003E-2</v>
      </c>
      <c r="O148" s="1">
        <f t="shared" si="22"/>
        <v>51.833595319024091</v>
      </c>
      <c r="P148" s="1">
        <f t="shared" si="23"/>
        <v>88.833361308242488</v>
      </c>
      <c r="Q148" s="1">
        <f t="shared" si="24"/>
        <v>-36.999765989218396</v>
      </c>
    </row>
    <row r="149" spans="2:17" x14ac:dyDescent="0.3">
      <c r="B149" s="2">
        <v>40</v>
      </c>
      <c r="C149" s="2">
        <v>4.0410000000000001E-2</v>
      </c>
      <c r="D149" s="2">
        <v>7.6269999999999998</v>
      </c>
      <c r="E149" s="2">
        <v>5.6340000000000001E-2</v>
      </c>
      <c r="F149" s="1">
        <f t="shared" si="19"/>
        <v>45.292141102159079</v>
      </c>
      <c r="G149" s="1">
        <f t="shared" si="20"/>
        <v>82.290479398058253</v>
      </c>
      <c r="H149" s="1">
        <f t="shared" si="21"/>
        <v>-36.998338295899174</v>
      </c>
      <c r="K149" s="2">
        <v>40</v>
      </c>
      <c r="L149" s="2">
        <v>5.0939999999999999E-2</v>
      </c>
      <c r="M149" s="2">
        <v>1.2869999999999999</v>
      </c>
      <c r="N149" s="2">
        <v>6.4759999999999998E-2</v>
      </c>
      <c r="O149" s="1">
        <f t="shared" si="22"/>
        <v>51.859666614328845</v>
      </c>
      <c r="P149" s="1">
        <f t="shared" si="23"/>
        <v>88.861489149523095</v>
      </c>
      <c r="Q149" s="1">
        <f t="shared" si="24"/>
        <v>-37.00182253519425</v>
      </c>
    </row>
    <row r="150" spans="2:17" x14ac:dyDescent="0.3">
      <c r="B150" s="2">
        <v>41</v>
      </c>
      <c r="C150" s="2">
        <v>4.1730000000000003E-2</v>
      </c>
      <c r="D150" s="2">
        <v>7.6280000000000001</v>
      </c>
      <c r="E150" s="2">
        <v>5.8000000000000003E-2</v>
      </c>
      <c r="F150" s="1">
        <f t="shared" si="19"/>
        <v>45.505558244410281</v>
      </c>
      <c r="G150" s="1">
        <f t="shared" si="20"/>
        <v>82.507617712390982</v>
      </c>
      <c r="H150" s="1">
        <f t="shared" si="21"/>
        <v>-37.0020594679807</v>
      </c>
      <c r="K150" s="2">
        <v>41</v>
      </c>
      <c r="L150" s="2">
        <v>5.2269999999999997E-2</v>
      </c>
      <c r="M150" s="2">
        <v>1.288</v>
      </c>
      <c r="N150" s="2">
        <v>6.6420000000000007E-2</v>
      </c>
      <c r="O150" s="1">
        <f t="shared" si="22"/>
        <v>51.889761773668461</v>
      </c>
      <c r="P150" s="1">
        <f t="shared" si="23"/>
        <v>88.889073834730567</v>
      </c>
      <c r="Q150" s="1">
        <f t="shared" si="24"/>
        <v>-36.999312061062106</v>
      </c>
    </row>
    <row r="151" spans="2:17" x14ac:dyDescent="0.3">
      <c r="B151" s="2">
        <v>42</v>
      </c>
      <c r="C151" s="2">
        <v>4.3060000000000001E-2</v>
      </c>
      <c r="D151" s="2">
        <v>7.6289999999999996</v>
      </c>
      <c r="E151" s="2">
        <v>5.9659999999999998E-2</v>
      </c>
      <c r="F151" s="1">
        <f t="shared" si="19"/>
        <v>45.713971110750606</v>
      </c>
      <c r="G151" s="1">
        <f t="shared" si="20"/>
        <v>82.712871585281661</v>
      </c>
      <c r="H151" s="1">
        <f t="shared" si="21"/>
        <v>-36.998900474531055</v>
      </c>
      <c r="K151" s="2">
        <v>42</v>
      </c>
      <c r="L151" s="2">
        <v>5.3589999999999999E-2</v>
      </c>
      <c r="M151" s="2">
        <v>1.29</v>
      </c>
      <c r="N151" s="2">
        <v>6.8080000000000002E-2</v>
      </c>
      <c r="O151" s="1">
        <f t="shared" si="22"/>
        <v>51.913196150727074</v>
      </c>
      <c r="P151" s="1">
        <f t="shared" si="23"/>
        <v>88.91447250597713</v>
      </c>
      <c r="Q151" s="1">
        <f t="shared" si="24"/>
        <v>-37.001276355250056</v>
      </c>
    </row>
    <row r="152" spans="2:17" x14ac:dyDescent="0.3">
      <c r="B152" s="2">
        <v>43</v>
      </c>
      <c r="C152" s="2">
        <v>4.4380000000000003E-2</v>
      </c>
      <c r="D152" s="2">
        <v>7.6289999999999996</v>
      </c>
      <c r="E152" s="2">
        <v>6.1330000000000003E-2</v>
      </c>
      <c r="F152" s="1">
        <f t="shared" si="19"/>
        <v>45.904802047847227</v>
      </c>
      <c r="G152" s="1">
        <f t="shared" si="20"/>
        <v>82.90925056366784</v>
      </c>
      <c r="H152" s="1">
        <f t="shared" si="21"/>
        <v>-37.004448515820613</v>
      </c>
      <c r="K152" s="2">
        <v>43</v>
      </c>
      <c r="L152" s="2">
        <v>5.4919999999999997E-2</v>
      </c>
      <c r="M152" s="2">
        <v>1.2909999999999999</v>
      </c>
      <c r="N152" s="2">
        <v>6.9739999999999996E-2</v>
      </c>
      <c r="O152" s="1">
        <f t="shared" si="22"/>
        <v>51.940582327000058</v>
      </c>
      <c r="P152" s="1">
        <f t="shared" si="23"/>
        <v>88.939483741382702</v>
      </c>
      <c r="Q152" s="1">
        <f t="shared" si="24"/>
        <v>-36.998901414382644</v>
      </c>
    </row>
    <row r="153" spans="2:17" x14ac:dyDescent="0.3">
      <c r="B153" s="2">
        <v>44</v>
      </c>
      <c r="C153" s="2">
        <v>4.5710000000000001E-2</v>
      </c>
      <c r="D153" s="2">
        <v>7.63</v>
      </c>
      <c r="E153" s="2">
        <v>6.2990000000000004E-2</v>
      </c>
      <c r="F153" s="1">
        <f t="shared" si="19"/>
        <v>46.092006682128769</v>
      </c>
      <c r="G153" s="1">
        <f t="shared" si="20"/>
        <v>83.093390901398379</v>
      </c>
      <c r="H153" s="1">
        <f t="shared" si="21"/>
        <v>-37.00138421926961</v>
      </c>
      <c r="K153" s="2">
        <v>44</v>
      </c>
      <c r="L153" s="2">
        <v>5.6239999999999998E-2</v>
      </c>
      <c r="M153" s="2">
        <v>1.292</v>
      </c>
      <c r="N153" s="2">
        <v>7.1400000000000005E-2</v>
      </c>
      <c r="O153" s="1">
        <f t="shared" si="22"/>
        <v>51.961748872380205</v>
      </c>
      <c r="P153" s="1">
        <f t="shared" si="23"/>
        <v>88.963332365982268</v>
      </c>
      <c r="Q153" s="1">
        <f t="shared" si="24"/>
        <v>-37.001583493602062</v>
      </c>
    </row>
    <row r="154" spans="2:17" x14ac:dyDescent="0.3">
      <c r="B154" s="2">
        <v>45</v>
      </c>
      <c r="C154" s="2">
        <v>4.7039999999999998E-2</v>
      </c>
      <c r="D154" s="2">
        <v>7.6310000000000002</v>
      </c>
      <c r="E154" s="2">
        <v>6.4649999999999999E-2</v>
      </c>
      <c r="F154" s="1">
        <f t="shared" si="19"/>
        <v>46.269711603547442</v>
      </c>
      <c r="G154" s="1">
        <f t="shared" si="20"/>
        <v>83.268207674708847</v>
      </c>
      <c r="H154" s="1">
        <f t="shared" si="21"/>
        <v>-36.998496071161405</v>
      </c>
      <c r="K154" s="2">
        <v>45</v>
      </c>
      <c r="L154" s="2">
        <v>5.7570000000000003E-2</v>
      </c>
      <c r="M154" s="2">
        <v>1.294</v>
      </c>
      <c r="N154" s="2">
        <v>7.306E-2</v>
      </c>
      <c r="O154" s="1">
        <f t="shared" si="22"/>
        <v>51.986785468510398</v>
      </c>
      <c r="P154" s="1">
        <f t="shared" si="23"/>
        <v>88.98531361081983</v>
      </c>
      <c r="Q154" s="1">
        <f t="shared" si="24"/>
        <v>-36.998528142309432</v>
      </c>
    </row>
    <row r="155" spans="2:17" x14ac:dyDescent="0.3">
      <c r="B155" s="2">
        <v>46</v>
      </c>
      <c r="C155" s="2">
        <v>4.836E-2</v>
      </c>
      <c r="D155" s="2">
        <v>7.6319999999999997</v>
      </c>
      <c r="E155" s="2">
        <v>6.6309999999999994E-2</v>
      </c>
      <c r="F155" s="1">
        <f t="shared" si="19"/>
        <v>46.432703008845174</v>
      </c>
      <c r="G155" s="1">
        <f t="shared" si="20"/>
        <v>83.43438849655827</v>
      </c>
      <c r="H155" s="1">
        <f t="shared" si="21"/>
        <v>-37.001685487713097</v>
      </c>
      <c r="K155" s="2">
        <v>46</v>
      </c>
      <c r="L155" s="2">
        <v>5.8889999999999998E-2</v>
      </c>
      <c r="M155" s="2">
        <v>1.2949999999999999</v>
      </c>
      <c r="N155" s="2">
        <v>7.4719999999999995E-2</v>
      </c>
      <c r="O155" s="1">
        <f t="shared" si="22"/>
        <v>52.005987952701723</v>
      </c>
      <c r="P155" s="1">
        <f t="shared" si="23"/>
        <v>89.007085028169115</v>
      </c>
      <c r="Q155" s="1">
        <f t="shared" si="24"/>
        <v>-37.001097075467392</v>
      </c>
    </row>
    <row r="156" spans="2:17" x14ac:dyDescent="0.3">
      <c r="B156" s="2">
        <v>47</v>
      </c>
      <c r="C156" s="2">
        <v>4.9689999999999998E-2</v>
      </c>
      <c r="D156" s="2">
        <v>7.633</v>
      </c>
      <c r="E156" s="2">
        <v>6.7970000000000003E-2</v>
      </c>
      <c r="F156" s="1">
        <f t="shared" si="19"/>
        <v>46.593607414271197</v>
      </c>
      <c r="G156" s="1">
        <f t="shared" si="20"/>
        <v>83.592555265816557</v>
      </c>
      <c r="H156" s="1">
        <f t="shared" si="21"/>
        <v>-36.99894785154536</v>
      </c>
      <c r="K156" s="2">
        <v>47</v>
      </c>
      <c r="L156" s="2">
        <v>6.0220000000000003E-2</v>
      </c>
      <c r="M156" s="2">
        <v>1.296</v>
      </c>
      <c r="N156" s="2">
        <v>7.6380000000000003E-2</v>
      </c>
      <c r="O156" s="1">
        <f t="shared" si="22"/>
        <v>52.028973087588795</v>
      </c>
      <c r="P156" s="1">
        <f t="shared" si="23"/>
        <v>89.027910378436673</v>
      </c>
      <c r="Q156" s="1">
        <f t="shared" si="24"/>
        <v>-36.998937290847877</v>
      </c>
    </row>
    <row r="157" spans="2:17" x14ac:dyDescent="0.3">
      <c r="B157" s="2">
        <v>48</v>
      </c>
      <c r="C157" s="2">
        <v>5.101E-2</v>
      </c>
      <c r="D157" s="2">
        <v>7.6340000000000003</v>
      </c>
      <c r="E157" s="2">
        <v>6.9629999999999997E-2</v>
      </c>
      <c r="F157" s="1">
        <f t="shared" si="19"/>
        <v>46.74131093242346</v>
      </c>
      <c r="G157" s="1">
        <f t="shared" si="20"/>
        <v>83.743271802834343</v>
      </c>
      <c r="H157" s="1">
        <f t="shared" si="21"/>
        <v>-37.001960870410883</v>
      </c>
      <c r="K157" s="2">
        <v>48</v>
      </c>
      <c r="L157" s="2">
        <v>6.1539999999999997E-2</v>
      </c>
      <c r="M157" s="2">
        <v>1.298</v>
      </c>
      <c r="N157" s="2">
        <v>7.8039999999999998E-2</v>
      </c>
      <c r="O157" s="1">
        <f t="shared" si="22"/>
        <v>52.046463759494806</v>
      </c>
      <c r="P157" s="1">
        <f t="shared" si="23"/>
        <v>89.047116029607352</v>
      </c>
      <c r="Q157" s="1">
        <f t="shared" si="24"/>
        <v>-37.000652270112546</v>
      </c>
    </row>
    <row r="158" spans="2:17" x14ac:dyDescent="0.3">
      <c r="B158" s="2">
        <v>49</v>
      </c>
      <c r="C158" s="2">
        <v>5.2339999999999998E-2</v>
      </c>
      <c r="D158" s="2">
        <v>7.6340000000000003</v>
      </c>
      <c r="E158" s="2">
        <v>7.1290000000000006E-2</v>
      </c>
      <c r="F158" s="1">
        <f t="shared" si="19"/>
        <v>46.88769150736691</v>
      </c>
      <c r="G158" s="1">
        <f t="shared" si="20"/>
        <v>83.887845036144313</v>
      </c>
      <c r="H158" s="1">
        <f t="shared" si="21"/>
        <v>-37.000153528777403</v>
      </c>
      <c r="K158" s="2">
        <v>49</v>
      </c>
      <c r="L158" s="2">
        <v>6.2869999999999995E-2</v>
      </c>
      <c r="M158" s="2">
        <v>1.2989999999999999</v>
      </c>
      <c r="N158" s="2">
        <v>7.9699999999999993E-2</v>
      </c>
      <c r="O158" s="1">
        <f t="shared" si="22"/>
        <v>52.067646827723557</v>
      </c>
      <c r="P158" s="1">
        <f t="shared" si="23"/>
        <v>89.066240549166309</v>
      </c>
      <c r="Q158" s="1">
        <f t="shared" si="24"/>
        <v>-36.998593721442752</v>
      </c>
    </row>
    <row r="159" spans="2:17" x14ac:dyDescent="0.3">
      <c r="B159" s="2">
        <v>50</v>
      </c>
      <c r="C159" s="2">
        <v>5.3659999999999999E-2</v>
      </c>
      <c r="D159" s="2">
        <v>7.6349999999999998</v>
      </c>
      <c r="E159" s="2">
        <v>7.2950000000000001E-2</v>
      </c>
      <c r="F159" s="1">
        <f t="shared" si="19"/>
        <v>47.022144290978673</v>
      </c>
      <c r="G159" s="1">
        <f t="shared" si="20"/>
        <v>84.025134688632861</v>
      </c>
      <c r="H159" s="1">
        <f t="shared" si="21"/>
        <v>-37.002990397654187</v>
      </c>
      <c r="K159" s="2">
        <v>50</v>
      </c>
      <c r="L159" s="2">
        <v>6.4189999999999997E-2</v>
      </c>
      <c r="M159" s="2">
        <v>1.3</v>
      </c>
      <c r="N159" s="2">
        <v>8.1360000000000002E-2</v>
      </c>
      <c r="O159" s="1">
        <f t="shared" si="22"/>
        <v>52.083636860053417</v>
      </c>
      <c r="P159" s="1">
        <f t="shared" si="23"/>
        <v>89.084584863553658</v>
      </c>
      <c r="Q159" s="1">
        <f t="shared" si="24"/>
        <v>-37.000948003500241</v>
      </c>
    </row>
    <row r="160" spans="2:17" x14ac:dyDescent="0.3">
      <c r="B160" s="2">
        <v>51</v>
      </c>
      <c r="C160" s="2">
        <v>5.4989999999999997E-2</v>
      </c>
      <c r="D160" s="2">
        <v>7.6360000000000001</v>
      </c>
      <c r="E160" s="2">
        <v>7.4609999999999996E-2</v>
      </c>
      <c r="F160" s="1">
        <f t="shared" si="19"/>
        <v>47.155885086450226</v>
      </c>
      <c r="G160" s="1">
        <f t="shared" si="20"/>
        <v>84.156379603644822</v>
      </c>
      <c r="H160" s="1">
        <f t="shared" si="21"/>
        <v>-37.000494517194596</v>
      </c>
      <c r="K160" s="2">
        <v>51</v>
      </c>
      <c r="L160" s="2">
        <v>6.5519999999999995E-2</v>
      </c>
      <c r="M160" s="2">
        <v>1.3009999999999999</v>
      </c>
      <c r="N160" s="2">
        <v>8.3019999999999997E-2</v>
      </c>
      <c r="O160" s="1">
        <f t="shared" si="22"/>
        <v>52.103228120957361</v>
      </c>
      <c r="P160" s="1">
        <f t="shared" si="23"/>
        <v>89.10219575876657</v>
      </c>
      <c r="Q160" s="1">
        <f t="shared" si="24"/>
        <v>-36.998967637809208</v>
      </c>
    </row>
    <row r="161" spans="2:17" x14ac:dyDescent="0.3">
      <c r="B161" s="2">
        <v>52</v>
      </c>
      <c r="C161" s="2">
        <v>5.6320000000000002E-2</v>
      </c>
      <c r="D161" s="2">
        <v>7.6369999999999996</v>
      </c>
      <c r="E161" s="2">
        <v>7.6270000000000004E-2</v>
      </c>
      <c r="F161" s="1">
        <f t="shared" si="19"/>
        <v>47.283850276328096</v>
      </c>
      <c r="G161" s="1">
        <f t="shared" si="20"/>
        <v>84.281969107441057</v>
      </c>
      <c r="H161" s="1">
        <f t="shared" si="21"/>
        <v>-36.998118831112961</v>
      </c>
      <c r="K161" s="2">
        <v>52</v>
      </c>
      <c r="L161" s="2">
        <v>6.6839999999999997E-2</v>
      </c>
      <c r="M161" s="2">
        <v>1.302</v>
      </c>
      <c r="N161" s="2">
        <v>8.4680000000000005E-2</v>
      </c>
      <c r="O161" s="1">
        <f t="shared" si="22"/>
        <v>52.117895617402802</v>
      </c>
      <c r="P161" s="1">
        <f t="shared" si="23"/>
        <v>89.119116353601285</v>
      </c>
      <c r="Q161" s="1">
        <f t="shared" si="24"/>
        <v>-37.001220736198484</v>
      </c>
    </row>
    <row r="162" spans="2:17" x14ac:dyDescent="0.3">
      <c r="B162" s="2">
        <v>53</v>
      </c>
      <c r="C162" s="2">
        <v>5.765E-2</v>
      </c>
      <c r="D162" s="2">
        <v>7.6369999999999996</v>
      </c>
      <c r="E162" s="2">
        <v>7.7920000000000003E-2</v>
      </c>
      <c r="F162" s="1">
        <f t="shared" si="19"/>
        <v>47.40640488490385</v>
      </c>
      <c r="G162" s="1">
        <f t="shared" si="20"/>
        <v>84.402274385723317</v>
      </c>
      <c r="H162" s="1">
        <f t="shared" si="21"/>
        <v>-36.995869500819467</v>
      </c>
      <c r="K162" s="2">
        <v>53</v>
      </c>
      <c r="L162" s="2">
        <v>6.8169999999999994E-2</v>
      </c>
      <c r="M162" s="2">
        <v>1.304</v>
      </c>
      <c r="N162" s="2">
        <v>8.634E-2</v>
      </c>
      <c r="O162" s="1">
        <f t="shared" si="22"/>
        <v>52.136073602588674</v>
      </c>
      <c r="P162" s="1">
        <f t="shared" si="23"/>
        <v>89.134722996814389</v>
      </c>
      <c r="Q162" s="1">
        <f t="shared" si="24"/>
        <v>-36.998649394225716</v>
      </c>
    </row>
    <row r="163" spans="2:17" x14ac:dyDescent="0.3">
      <c r="B163" s="2">
        <v>54</v>
      </c>
      <c r="C163" s="2">
        <v>5.919E-2</v>
      </c>
      <c r="D163" s="2">
        <v>7.6379999999999999</v>
      </c>
      <c r="E163" s="2">
        <v>7.9369999999999996E-2</v>
      </c>
      <c r="F163" s="1">
        <f t="shared" si="19"/>
        <v>47.62529342822662</v>
      </c>
      <c r="G163" s="1">
        <f t="shared" si="20"/>
        <v>84.503191290196099</v>
      </c>
      <c r="H163" s="1">
        <f t="shared" si="21"/>
        <v>-36.87789786196948</v>
      </c>
      <c r="K163" s="2">
        <v>54</v>
      </c>
      <c r="L163" s="2">
        <v>6.9489999999999996E-2</v>
      </c>
      <c r="M163" s="2">
        <v>1.3049999999999999</v>
      </c>
      <c r="N163" s="2">
        <v>8.7999999999999995E-2</v>
      </c>
      <c r="O163" s="1">
        <f t="shared" si="22"/>
        <v>52.149569805297944</v>
      </c>
      <c r="P163" s="1">
        <f t="shared" si="23"/>
        <v>89.150391910344666</v>
      </c>
      <c r="Q163" s="1">
        <f t="shared" si="24"/>
        <v>-37.000822105046723</v>
      </c>
    </row>
    <row r="164" spans="2:17" x14ac:dyDescent="0.3">
      <c r="B164" s="2">
        <v>55</v>
      </c>
      <c r="C164" s="2">
        <v>6.0749999999999998E-2</v>
      </c>
      <c r="D164" s="2">
        <v>7.6390000000000002</v>
      </c>
      <c r="E164" s="2">
        <v>8.0799999999999997E-2</v>
      </c>
      <c r="F164" s="1">
        <f t="shared" si="19"/>
        <v>47.843888870132503</v>
      </c>
      <c r="G164" s="1">
        <f t="shared" si="20"/>
        <v>84.599190879091097</v>
      </c>
      <c r="H164" s="1">
        <f t="shared" si="21"/>
        <v>-36.755302008958594</v>
      </c>
      <c r="K164" s="2">
        <v>55</v>
      </c>
      <c r="L164" s="2">
        <v>7.0819999999999994E-2</v>
      </c>
      <c r="M164" s="2">
        <v>1.306</v>
      </c>
      <c r="N164" s="2">
        <v>8.9660000000000004E-2</v>
      </c>
      <c r="O164" s="1">
        <f t="shared" si="22"/>
        <v>52.166487102863719</v>
      </c>
      <c r="P164" s="1">
        <f t="shared" si="23"/>
        <v>89.165480743342357</v>
      </c>
      <c r="Q164" s="1">
        <f t="shared" si="24"/>
        <v>-36.998993640478638</v>
      </c>
    </row>
    <row r="165" spans="2:17" x14ac:dyDescent="0.3">
      <c r="B165" s="2">
        <v>56</v>
      </c>
      <c r="C165" s="2">
        <v>6.2309999999999997E-2</v>
      </c>
      <c r="D165" s="2">
        <v>7.6390000000000002</v>
      </c>
      <c r="E165" s="2">
        <v>8.2229999999999998E-2</v>
      </c>
      <c r="F165" s="1">
        <f t="shared" si="19"/>
        <v>48.052946902997071</v>
      </c>
      <c r="G165" s="1">
        <f t="shared" si="20"/>
        <v>84.692571227435366</v>
      </c>
      <c r="H165" s="1">
        <f t="shared" si="21"/>
        <v>-36.639624324438294</v>
      </c>
      <c r="K165" s="2">
        <v>56</v>
      </c>
      <c r="L165" s="2">
        <v>7.2139999999999996E-2</v>
      </c>
      <c r="M165" s="2">
        <v>1.3069999999999999</v>
      </c>
      <c r="N165" s="2">
        <v>9.1319999999999998E-2</v>
      </c>
      <c r="O165" s="1">
        <f t="shared" si="22"/>
        <v>52.178941254634971</v>
      </c>
      <c r="P165" s="1">
        <f t="shared" si="23"/>
        <v>89.180021121220975</v>
      </c>
      <c r="Q165" s="1">
        <f t="shared" si="24"/>
        <v>-37.001079866586004</v>
      </c>
    </row>
    <row r="166" spans="2:17" x14ac:dyDescent="0.3">
      <c r="B166" s="2">
        <v>57</v>
      </c>
      <c r="C166" s="2">
        <v>6.386E-2</v>
      </c>
      <c r="D166" s="2">
        <v>7.64</v>
      </c>
      <c r="E166" s="2">
        <v>8.3659999999999998E-2</v>
      </c>
      <c r="F166" s="1">
        <f t="shared" si="19"/>
        <v>48.24861631734197</v>
      </c>
      <c r="G166" s="1">
        <f t="shared" si="20"/>
        <v>84.782106931258824</v>
      </c>
      <c r="H166" s="1">
        <f t="shared" si="21"/>
        <v>-36.533490613916854</v>
      </c>
      <c r="K166" s="2">
        <v>57</v>
      </c>
      <c r="L166" s="2">
        <v>7.3469999999999994E-2</v>
      </c>
      <c r="M166" s="2">
        <v>1.3080000000000001</v>
      </c>
      <c r="N166" s="2">
        <v>9.2979999999999993E-2</v>
      </c>
      <c r="O166" s="1">
        <f t="shared" si="22"/>
        <v>52.194729070763103</v>
      </c>
      <c r="P166" s="1">
        <f t="shared" si="23"/>
        <v>89.194042411648184</v>
      </c>
      <c r="Q166" s="1">
        <f t="shared" si="24"/>
        <v>-36.999313340885081</v>
      </c>
    </row>
    <row r="167" spans="2:17" x14ac:dyDescent="0.3">
      <c r="B167" s="2">
        <v>58</v>
      </c>
      <c r="C167" s="2">
        <v>6.5420000000000006E-2</v>
      </c>
      <c r="D167" s="2">
        <v>7.64</v>
      </c>
      <c r="E167" s="2">
        <v>8.5080000000000003E-2</v>
      </c>
      <c r="F167" s="1">
        <f t="shared" si="19"/>
        <v>48.440476333173201</v>
      </c>
      <c r="G167" s="1">
        <f t="shared" si="20"/>
        <v>84.868725648142444</v>
      </c>
      <c r="H167" s="1">
        <f t="shared" si="21"/>
        <v>-36.428249314969243</v>
      </c>
      <c r="K167" s="2">
        <v>58</v>
      </c>
      <c r="L167" s="2">
        <v>7.4789999999999995E-2</v>
      </c>
      <c r="M167" s="2">
        <v>1.3089999999999999</v>
      </c>
      <c r="N167" s="2">
        <v>9.4640000000000002E-2</v>
      </c>
      <c r="O167" s="1">
        <f t="shared" si="22"/>
        <v>52.206252259896686</v>
      </c>
      <c r="P167" s="1">
        <f t="shared" si="23"/>
        <v>89.207571922477825</v>
      </c>
      <c r="Q167" s="1">
        <f t="shared" si="24"/>
        <v>-37.001319662581139</v>
      </c>
    </row>
    <row r="168" spans="2:17" x14ac:dyDescent="0.3">
      <c r="B168" s="2">
        <v>59</v>
      </c>
      <c r="C168" s="2">
        <v>6.6979999999999998E-2</v>
      </c>
      <c r="D168" s="2">
        <v>7.641</v>
      </c>
      <c r="E168" s="2">
        <v>8.6510000000000004E-2</v>
      </c>
      <c r="F168" s="1">
        <f t="shared" si="19"/>
        <v>48.624466374572243</v>
      </c>
      <c r="G168" s="1">
        <f t="shared" si="20"/>
        <v>84.952446115811838</v>
      </c>
      <c r="H168" s="1">
        <f t="shared" si="21"/>
        <v>-36.327979741239595</v>
      </c>
      <c r="K168" s="2">
        <v>59</v>
      </c>
      <c r="L168" s="2">
        <v>7.6119999999999993E-2</v>
      </c>
      <c r="M168" s="2">
        <v>1.31</v>
      </c>
      <c r="N168" s="2">
        <v>9.6299999999999997E-2</v>
      </c>
      <c r="O168" s="1">
        <f t="shared" si="22"/>
        <v>52.221024049282313</v>
      </c>
      <c r="P168" s="1">
        <f t="shared" si="23"/>
        <v>89.220635079218937</v>
      </c>
      <c r="Q168" s="1">
        <f t="shared" si="24"/>
        <v>-36.999611029936624</v>
      </c>
    </row>
    <row r="169" spans="2:17" x14ac:dyDescent="0.3">
      <c r="B169" s="2">
        <v>60</v>
      </c>
      <c r="C169" s="2">
        <v>6.8540000000000004E-2</v>
      </c>
      <c r="D169" s="2">
        <v>7.641</v>
      </c>
      <c r="E169" s="2">
        <v>8.7940000000000004E-2</v>
      </c>
      <c r="F169" s="1">
        <f t="shared" si="19"/>
        <v>48.801057369737322</v>
      </c>
      <c r="G169" s="1">
        <f t="shared" si="20"/>
        <v>85.034111037961594</v>
      </c>
      <c r="H169" s="1">
        <f t="shared" si="21"/>
        <v>-36.233053668224272</v>
      </c>
      <c r="K169" s="2">
        <v>60</v>
      </c>
      <c r="L169" s="2">
        <v>7.7590000000000006E-2</v>
      </c>
      <c r="M169" s="2">
        <v>1.3109999999999999</v>
      </c>
      <c r="N169" s="2">
        <v>9.7809999999999994E-2</v>
      </c>
      <c r="O169" s="1">
        <f t="shared" si="22"/>
        <v>52.285379147762086</v>
      </c>
      <c r="P169" s="1">
        <f t="shared" si="23"/>
        <v>89.232079857036723</v>
      </c>
      <c r="Q169" s="1">
        <f t="shared" si="24"/>
        <v>-36.946700709274637</v>
      </c>
    </row>
    <row r="170" spans="2:17" x14ac:dyDescent="0.3">
      <c r="B170" s="2">
        <v>61</v>
      </c>
      <c r="C170" s="2">
        <v>7.0099999999999996E-2</v>
      </c>
      <c r="D170" s="2">
        <v>7.6420000000000003</v>
      </c>
      <c r="E170" s="2">
        <v>8.9370000000000005E-2</v>
      </c>
      <c r="F170" s="1">
        <f t="shared" si="19"/>
        <v>48.97068368165462</v>
      </c>
      <c r="G170" s="1">
        <f t="shared" si="20"/>
        <v>85.112545356898565</v>
      </c>
      <c r="H170" s="1">
        <f t="shared" si="21"/>
        <v>-36.141861675243945</v>
      </c>
      <c r="K170" s="2">
        <v>61</v>
      </c>
      <c r="L170" s="2">
        <v>7.9149999999999998E-2</v>
      </c>
      <c r="M170" s="2">
        <v>1.3120000000000001</v>
      </c>
      <c r="N170" s="2">
        <v>9.9239999999999995E-2</v>
      </c>
      <c r="O170" s="1">
        <f t="shared" si="22"/>
        <v>52.378969736160229</v>
      </c>
      <c r="P170" s="1">
        <f t="shared" si="23"/>
        <v>89.242566670379219</v>
      </c>
      <c r="Q170" s="1">
        <f t="shared" si="24"/>
        <v>-36.86359693421899</v>
      </c>
    </row>
    <row r="171" spans="2:17" x14ac:dyDescent="0.3">
      <c r="B171" s="2">
        <v>62</v>
      </c>
      <c r="C171" s="2">
        <v>7.1660000000000001E-2</v>
      </c>
      <c r="D171" s="2">
        <v>7.6429999999999998</v>
      </c>
      <c r="E171" s="2">
        <v>9.0800000000000006E-2</v>
      </c>
      <c r="F171" s="1">
        <f t="shared" si="19"/>
        <v>49.133746563768518</v>
      </c>
      <c r="G171" s="1">
        <f t="shared" si="20"/>
        <v>85.188526678685349</v>
      </c>
      <c r="H171" s="1">
        <f t="shared" si="21"/>
        <v>-36.054780114916831</v>
      </c>
      <c r="K171" s="2">
        <v>62</v>
      </c>
      <c r="L171" s="2">
        <v>8.0699999999999994E-2</v>
      </c>
      <c r="M171" s="2">
        <v>1.3129999999999999</v>
      </c>
      <c r="N171" s="2">
        <v>0.1007</v>
      </c>
      <c r="O171" s="1">
        <f t="shared" si="22"/>
        <v>52.465735316842405</v>
      </c>
      <c r="P171" s="1">
        <f t="shared" si="23"/>
        <v>89.252978195366609</v>
      </c>
      <c r="Q171" s="1">
        <f t="shared" si="24"/>
        <v>-36.787242878524204</v>
      </c>
    </row>
    <row r="172" spans="2:17" x14ac:dyDescent="0.3">
      <c r="B172" s="2">
        <v>63</v>
      </c>
      <c r="C172" s="2">
        <v>7.3219999999999993E-2</v>
      </c>
      <c r="D172" s="2">
        <v>7.6429999999999998</v>
      </c>
      <c r="E172" s="2">
        <v>9.2219999999999996E-2</v>
      </c>
      <c r="F172" s="1">
        <f t="shared" si="19"/>
        <v>49.290617233862605</v>
      </c>
      <c r="G172" s="1">
        <f t="shared" si="20"/>
        <v>85.262273692444296</v>
      </c>
      <c r="H172" s="1">
        <f t="shared" si="21"/>
        <v>-35.971656458581691</v>
      </c>
      <c r="K172" s="2">
        <v>63</v>
      </c>
      <c r="L172" s="2">
        <v>8.226E-2</v>
      </c>
      <c r="M172" s="2">
        <v>1.3140000000000001</v>
      </c>
      <c r="N172" s="2">
        <v>0.1021</v>
      </c>
      <c r="O172" s="1">
        <f t="shared" si="22"/>
        <v>52.552784295300299</v>
      </c>
      <c r="P172" s="1">
        <f t="shared" si="23"/>
        <v>89.262659176153846</v>
      </c>
      <c r="Q172" s="1">
        <f t="shared" si="24"/>
        <v>-36.709874880853548</v>
      </c>
    </row>
    <row r="173" spans="2:17" x14ac:dyDescent="0.3">
      <c r="B173" s="2">
        <v>64</v>
      </c>
      <c r="C173" s="2">
        <v>7.4779999999999999E-2</v>
      </c>
      <c r="D173" s="2">
        <v>7.6440000000000001</v>
      </c>
      <c r="E173" s="2">
        <v>9.3649999999999997E-2</v>
      </c>
      <c r="F173" s="1">
        <f t="shared" si="19"/>
        <v>49.441639614110485</v>
      </c>
      <c r="G173" s="1">
        <f t="shared" si="20"/>
        <v>85.333687370455891</v>
      </c>
      <c r="H173" s="1">
        <f t="shared" si="21"/>
        <v>-35.892047756345406</v>
      </c>
      <c r="K173" s="2">
        <v>64</v>
      </c>
      <c r="L173" s="2">
        <v>8.3820000000000006E-2</v>
      </c>
      <c r="M173" s="2">
        <v>1.3149999999999999</v>
      </c>
      <c r="N173" s="2">
        <v>0.10349999999999999</v>
      </c>
      <c r="O173" s="1">
        <f t="shared" si="22"/>
        <v>52.636784930547407</v>
      </c>
      <c r="P173" s="1">
        <f t="shared" si="23"/>
        <v>89.272078296426685</v>
      </c>
      <c r="Q173" s="1">
        <f t="shared" si="24"/>
        <v>-36.635293365879278</v>
      </c>
    </row>
    <row r="174" spans="2:17" x14ac:dyDescent="0.3">
      <c r="B174" s="2">
        <v>65</v>
      </c>
      <c r="C174" s="2">
        <v>7.6340000000000005E-2</v>
      </c>
      <c r="D174" s="2">
        <v>7.6440000000000001</v>
      </c>
      <c r="E174" s="2">
        <v>9.5079999999999998E-2</v>
      </c>
      <c r="F174" s="1">
        <f t="shared" si="19"/>
        <v>49.587132778543918</v>
      </c>
      <c r="G174" s="1">
        <f t="shared" si="20"/>
        <v>85.403565551900002</v>
      </c>
      <c r="H174" s="1">
        <f t="shared" si="21"/>
        <v>-35.816432773356084</v>
      </c>
      <c r="K174" s="2">
        <v>65</v>
      </c>
      <c r="L174" s="2">
        <v>8.5379999999999998E-2</v>
      </c>
      <c r="M174" s="2">
        <v>1.3149999999999999</v>
      </c>
      <c r="N174" s="2">
        <v>0.105</v>
      </c>
      <c r="O174" s="1">
        <f t="shared" si="22"/>
        <v>52.717894247864422</v>
      </c>
      <c r="P174" s="1">
        <f t="shared" si="23"/>
        <v>89.282476082829874</v>
      </c>
      <c r="Q174" s="1">
        <f t="shared" si="24"/>
        <v>-36.564581834965452</v>
      </c>
    </row>
    <row r="175" spans="2:17" x14ac:dyDescent="0.3">
      <c r="B175" s="2">
        <v>66</v>
      </c>
      <c r="C175" s="2">
        <v>7.7890000000000001E-2</v>
      </c>
      <c r="D175" s="2">
        <v>7.6449999999999996</v>
      </c>
      <c r="E175" s="2">
        <v>9.6509999999999999E-2</v>
      </c>
      <c r="F175" s="1">
        <f t="shared" ref="F175:F209" si="25">DEGREES(ATAN2(B175,C175*1000))</f>
        <v>49.723765308402115</v>
      </c>
      <c r="G175" s="1">
        <f t="shared" ref="G175:G209" si="26">DEGREES(ATAN2(D175,E175*1000))</f>
        <v>85.470796075946964</v>
      </c>
      <c r="H175" s="1">
        <f t="shared" ref="H175:H209" si="27">F175-G175</f>
        <v>-35.74703076754485</v>
      </c>
      <c r="K175" s="2">
        <v>66</v>
      </c>
      <c r="L175" s="2">
        <v>8.6940000000000003E-2</v>
      </c>
      <c r="M175" s="2">
        <v>1.3160000000000001</v>
      </c>
      <c r="N175" s="2">
        <v>0.10639999999999999</v>
      </c>
      <c r="O175" s="1">
        <f t="shared" ref="O175:O209" si="28">DEGREES(ATAN2(K175,L175*1000))</f>
        <v>52.796258692220533</v>
      </c>
      <c r="P175" s="1">
        <f t="shared" ref="P175:P209" si="29">DEGREES(ATAN2(M175,N175*1000))</f>
        <v>89.291377807466816</v>
      </c>
      <c r="Q175" s="1">
        <f t="shared" ref="Q175:Q209" si="30">O175-P175</f>
        <v>-36.495119115246283</v>
      </c>
    </row>
    <row r="176" spans="2:17" x14ac:dyDescent="0.3">
      <c r="B176" s="2">
        <v>67</v>
      </c>
      <c r="C176" s="2">
        <v>7.9450000000000007E-2</v>
      </c>
      <c r="D176" s="2">
        <v>7.6449999999999996</v>
      </c>
      <c r="E176" s="2">
        <v>9.7939999999999999E-2</v>
      </c>
      <c r="F176" s="1">
        <f t="shared" si="25"/>
        <v>49.859142661449667</v>
      </c>
      <c r="G176" s="1">
        <f t="shared" si="26"/>
        <v>85.536656789904285</v>
      </c>
      <c r="H176" s="1">
        <f t="shared" si="27"/>
        <v>-35.677514128454618</v>
      </c>
      <c r="K176" s="2">
        <v>67</v>
      </c>
      <c r="L176" s="2">
        <v>8.8499999999999995E-2</v>
      </c>
      <c r="M176" s="2">
        <v>1.3169999999999999</v>
      </c>
      <c r="N176" s="2">
        <v>0.10780000000000001</v>
      </c>
      <c r="O176" s="1">
        <f t="shared" si="28"/>
        <v>52.872015002819793</v>
      </c>
      <c r="P176" s="1">
        <f t="shared" si="29"/>
        <v>89.300048351370478</v>
      </c>
      <c r="Q176" s="1">
        <f t="shared" si="30"/>
        <v>-36.428033348550684</v>
      </c>
    </row>
    <row r="177" spans="2:17" x14ac:dyDescent="0.3">
      <c r="B177" s="2">
        <v>68</v>
      </c>
      <c r="C177" s="2">
        <v>8.1009999999999999E-2</v>
      </c>
      <c r="D177" s="2">
        <v>7.6459999999999999</v>
      </c>
      <c r="E177" s="2">
        <v>9.937E-2</v>
      </c>
      <c r="F177" s="1">
        <f t="shared" si="25"/>
        <v>49.989816856503431</v>
      </c>
      <c r="G177" s="1">
        <f t="shared" si="26"/>
        <v>85.600060065437248</v>
      </c>
      <c r="H177" s="1">
        <f t="shared" si="27"/>
        <v>-35.610243208933817</v>
      </c>
      <c r="K177" s="2">
        <v>68</v>
      </c>
      <c r="L177" s="2">
        <v>9.0050000000000005E-2</v>
      </c>
      <c r="M177" s="2">
        <v>1.3180000000000001</v>
      </c>
      <c r="N177" s="2">
        <v>0.10920000000000001</v>
      </c>
      <c r="O177" s="1">
        <f t="shared" si="28"/>
        <v>52.942231364758285</v>
      </c>
      <c r="P177" s="1">
        <f t="shared" si="29"/>
        <v>89.308496604476673</v>
      </c>
      <c r="Q177" s="1">
        <f t="shared" si="30"/>
        <v>-36.366265239718388</v>
      </c>
    </row>
    <row r="178" spans="2:17" x14ac:dyDescent="0.3">
      <c r="B178" s="2">
        <v>69</v>
      </c>
      <c r="C178" s="2">
        <v>8.2570000000000005E-2</v>
      </c>
      <c r="D178" s="2">
        <v>7.6459999999999999</v>
      </c>
      <c r="E178" s="2">
        <v>0.1008</v>
      </c>
      <c r="F178" s="1">
        <f t="shared" si="25"/>
        <v>50.11602750686923</v>
      </c>
      <c r="G178" s="1">
        <f t="shared" si="26"/>
        <v>85.662239902287936</v>
      </c>
      <c r="H178" s="1">
        <f t="shared" si="27"/>
        <v>-35.546212395418706</v>
      </c>
      <c r="K178" s="2">
        <v>69</v>
      </c>
      <c r="L178" s="2">
        <v>9.1609999999999997E-2</v>
      </c>
      <c r="M178" s="2">
        <v>1.319</v>
      </c>
      <c r="N178" s="2">
        <v>0.11070000000000001</v>
      </c>
      <c r="O178" s="1">
        <f t="shared" si="28"/>
        <v>53.013200901503367</v>
      </c>
      <c r="P178" s="1">
        <f t="shared" si="29"/>
        <v>89.317348174090512</v>
      </c>
      <c r="Q178" s="1">
        <f t="shared" si="30"/>
        <v>-36.304147272587144</v>
      </c>
    </row>
    <row r="179" spans="2:17" x14ac:dyDescent="0.3">
      <c r="B179" s="2">
        <v>70</v>
      </c>
      <c r="C179" s="2">
        <v>8.4129999999999996E-2</v>
      </c>
      <c r="D179" s="2">
        <v>7.6470000000000002</v>
      </c>
      <c r="E179" s="2">
        <v>0.1022</v>
      </c>
      <c r="F179" s="1">
        <f t="shared" si="25"/>
        <v>50.23799830512948</v>
      </c>
      <c r="G179" s="1">
        <f t="shared" si="26"/>
        <v>85.720881590394754</v>
      </c>
      <c r="H179" s="1">
        <f t="shared" si="27"/>
        <v>-35.482883285265274</v>
      </c>
      <c r="K179" s="2">
        <v>70</v>
      </c>
      <c r="L179" s="2">
        <v>9.3170000000000003E-2</v>
      </c>
      <c r="M179" s="2">
        <v>1.32</v>
      </c>
      <c r="N179" s="2">
        <v>0.11210000000000001</v>
      </c>
      <c r="O179" s="1">
        <f t="shared" si="28"/>
        <v>53.081919946413528</v>
      </c>
      <c r="P179" s="1">
        <f t="shared" si="29"/>
        <v>89.325361875764514</v>
      </c>
      <c r="Q179" s="1">
        <f t="shared" si="30"/>
        <v>-36.243441929350986</v>
      </c>
    </row>
    <row r="180" spans="2:17" x14ac:dyDescent="0.3">
      <c r="B180" s="2">
        <v>71</v>
      </c>
      <c r="C180" s="2">
        <v>8.5690000000000002E-2</v>
      </c>
      <c r="D180" s="2">
        <v>7.6470000000000002</v>
      </c>
      <c r="E180" s="2">
        <v>0.1037</v>
      </c>
      <c r="F180" s="1">
        <f t="shared" si="25"/>
        <v>50.355938317035502</v>
      </c>
      <c r="G180" s="1">
        <f t="shared" si="26"/>
        <v>85.782553226825726</v>
      </c>
      <c r="H180" s="1">
        <f t="shared" si="27"/>
        <v>-35.426614909790224</v>
      </c>
      <c r="K180" s="2">
        <v>71</v>
      </c>
      <c r="L180" s="2">
        <v>9.4729999999999995E-2</v>
      </c>
      <c r="M180" s="2">
        <v>1.32</v>
      </c>
      <c r="N180" s="2">
        <v>0.1135</v>
      </c>
      <c r="O180" s="1">
        <f t="shared" si="28"/>
        <v>53.148493686994208</v>
      </c>
      <c r="P180" s="1">
        <f t="shared" si="29"/>
        <v>89.333682648334772</v>
      </c>
      <c r="Q180" s="1">
        <f t="shared" si="30"/>
        <v>-36.185188961340565</v>
      </c>
    </row>
    <row r="181" spans="2:17" x14ac:dyDescent="0.3">
      <c r="B181" s="2">
        <v>72</v>
      </c>
      <c r="C181" s="2">
        <v>8.7249999999999994E-2</v>
      </c>
      <c r="D181" s="2">
        <v>7.6479999999999997</v>
      </c>
      <c r="E181" s="2">
        <v>0.1051</v>
      </c>
      <c r="F181" s="1">
        <f t="shared" si="25"/>
        <v>50.470043151876844</v>
      </c>
      <c r="G181" s="1">
        <f t="shared" si="26"/>
        <v>85.837991371857385</v>
      </c>
      <c r="H181" s="1">
        <f t="shared" si="27"/>
        <v>-35.367948219980541</v>
      </c>
      <c r="K181" s="2">
        <v>72</v>
      </c>
      <c r="L181" s="2">
        <v>9.6290000000000001E-2</v>
      </c>
      <c r="M181" s="2">
        <v>1.321</v>
      </c>
      <c r="N181" s="2">
        <v>0.1149</v>
      </c>
      <c r="O181" s="1">
        <f t="shared" si="28"/>
        <v>53.213020867324602</v>
      </c>
      <c r="P181" s="1">
        <f t="shared" si="29"/>
        <v>89.341302087020168</v>
      </c>
      <c r="Q181" s="1">
        <f t="shared" si="30"/>
        <v>-36.128281219695566</v>
      </c>
    </row>
    <row r="182" spans="2:17" x14ac:dyDescent="0.3">
      <c r="B182" s="2">
        <v>73</v>
      </c>
      <c r="C182" s="2">
        <v>8.881E-2</v>
      </c>
      <c r="D182" s="2">
        <v>7.6479999999999997</v>
      </c>
      <c r="E182" s="2">
        <v>0.1065</v>
      </c>
      <c r="F182" s="1">
        <f t="shared" si="25"/>
        <v>50.580496022799196</v>
      </c>
      <c r="G182" s="1">
        <f t="shared" si="26"/>
        <v>85.892514719690126</v>
      </c>
      <c r="H182" s="1">
        <f t="shared" si="27"/>
        <v>-35.312018696890931</v>
      </c>
      <c r="K182" s="2">
        <v>73</v>
      </c>
      <c r="L182" s="2">
        <v>9.7850000000000006E-2</v>
      </c>
      <c r="M182" s="2">
        <v>1.3220000000000001</v>
      </c>
      <c r="N182" s="2">
        <v>0.1164</v>
      </c>
      <c r="O182" s="1">
        <f t="shared" si="28"/>
        <v>53.275594273164735</v>
      </c>
      <c r="P182" s="1">
        <f t="shared" si="29"/>
        <v>89.349297560325368</v>
      </c>
      <c r="Q182" s="1">
        <f t="shared" si="30"/>
        <v>-36.073703287160633</v>
      </c>
    </row>
    <row r="183" spans="2:17" x14ac:dyDescent="0.3">
      <c r="B183" s="2">
        <v>74</v>
      </c>
      <c r="C183" s="2">
        <v>9.0370000000000006E-2</v>
      </c>
      <c r="D183" s="2">
        <v>7.649</v>
      </c>
      <c r="E183" s="2">
        <v>0.1079</v>
      </c>
      <c r="F183" s="1">
        <f t="shared" si="25"/>
        <v>50.687468708897597</v>
      </c>
      <c r="G183" s="1">
        <f t="shared" si="26"/>
        <v>85.945102002026545</v>
      </c>
      <c r="H183" s="1">
        <f t="shared" si="27"/>
        <v>-35.257633293128947</v>
      </c>
      <c r="K183" s="2">
        <v>74</v>
      </c>
      <c r="L183" s="2">
        <v>9.9409999999999998E-2</v>
      </c>
      <c r="M183" s="2">
        <v>1.323</v>
      </c>
      <c r="N183" s="2">
        <v>0.1178</v>
      </c>
      <c r="O183" s="1">
        <f t="shared" si="28"/>
        <v>53.336301173958091</v>
      </c>
      <c r="P183" s="1">
        <f t="shared" si="29"/>
        <v>89.35654389239113</v>
      </c>
      <c r="Q183" s="1">
        <f t="shared" si="30"/>
        <v>-36.020242718433039</v>
      </c>
    </row>
    <row r="184" spans="2:17" x14ac:dyDescent="0.3">
      <c r="B184" s="2">
        <v>75</v>
      </c>
      <c r="C184" s="2">
        <v>9.1920000000000002E-2</v>
      </c>
      <c r="D184" s="2">
        <v>7.649</v>
      </c>
      <c r="E184" s="2">
        <v>0.1094</v>
      </c>
      <c r="F184" s="1">
        <f t="shared" si="25"/>
        <v>50.788069413013055</v>
      </c>
      <c r="G184" s="1">
        <f t="shared" si="26"/>
        <v>86.00051764916202</v>
      </c>
      <c r="H184" s="1">
        <f t="shared" si="27"/>
        <v>-35.212448236148965</v>
      </c>
      <c r="K184" s="2">
        <v>75</v>
      </c>
      <c r="L184" s="2">
        <v>0.10100000000000001</v>
      </c>
      <c r="M184" s="2">
        <v>1.323</v>
      </c>
      <c r="N184" s="2">
        <v>0.1192</v>
      </c>
      <c r="O184" s="1">
        <f t="shared" si="28"/>
        <v>53.403371090560825</v>
      </c>
      <c r="P184" s="1">
        <f t="shared" si="29"/>
        <v>89.364100638511772</v>
      </c>
      <c r="Q184" s="1">
        <f t="shared" si="30"/>
        <v>-35.960729547950947</v>
      </c>
    </row>
    <row r="185" spans="2:17" x14ac:dyDescent="0.3">
      <c r="B185" s="2">
        <v>76</v>
      </c>
      <c r="C185" s="2">
        <v>9.3479999999999994E-2</v>
      </c>
      <c r="D185" s="2">
        <v>7.65</v>
      </c>
      <c r="E185" s="2">
        <v>0.1108</v>
      </c>
      <c r="F185" s="1">
        <f t="shared" si="25"/>
        <v>50.888608746045655</v>
      </c>
      <c r="G185" s="1">
        <f t="shared" si="26"/>
        <v>86.050377052718787</v>
      </c>
      <c r="H185" s="1">
        <f t="shared" si="27"/>
        <v>-35.161768306673132</v>
      </c>
      <c r="K185" s="2">
        <v>76</v>
      </c>
      <c r="L185" s="2">
        <v>0.10249999999999999</v>
      </c>
      <c r="M185" s="2">
        <v>1.3240000000000001</v>
      </c>
      <c r="N185" s="2">
        <v>0.1207</v>
      </c>
      <c r="O185" s="1">
        <f t="shared" si="28"/>
        <v>53.444417740719885</v>
      </c>
      <c r="P185" s="1">
        <f t="shared" si="29"/>
        <v>89.3715280061855</v>
      </c>
      <c r="Q185" s="1">
        <f t="shared" si="30"/>
        <v>-35.927110265465615</v>
      </c>
    </row>
    <row r="186" spans="2:17" x14ac:dyDescent="0.3">
      <c r="B186" s="2">
        <v>77</v>
      </c>
      <c r="C186" s="2">
        <v>9.5039999999999999E-2</v>
      </c>
      <c r="D186" s="2">
        <v>7.65</v>
      </c>
      <c r="E186" s="2">
        <v>0.11219999999999999</v>
      </c>
      <c r="F186" s="1">
        <f t="shared" si="25"/>
        <v>50.986121211202594</v>
      </c>
      <c r="G186" s="1">
        <f t="shared" si="26"/>
        <v>86.099506257618117</v>
      </c>
      <c r="H186" s="1">
        <f t="shared" si="27"/>
        <v>-35.113385046415523</v>
      </c>
      <c r="K186" s="2">
        <v>77</v>
      </c>
      <c r="L186" s="2">
        <v>0.1041</v>
      </c>
      <c r="M186" s="2">
        <v>1.325</v>
      </c>
      <c r="N186" s="2">
        <v>0.1221</v>
      </c>
      <c r="O186" s="1">
        <f t="shared" si="28"/>
        <v>53.510652599847006</v>
      </c>
      <c r="P186" s="1">
        <f t="shared" si="29"/>
        <v>89.378264307488735</v>
      </c>
      <c r="Q186" s="1">
        <f t="shared" si="30"/>
        <v>-35.867611707641728</v>
      </c>
    </row>
    <row r="187" spans="2:17" x14ac:dyDescent="0.3">
      <c r="B187" s="2">
        <v>78</v>
      </c>
      <c r="C187" s="2">
        <v>9.6600000000000005E-2</v>
      </c>
      <c r="D187" s="2">
        <v>7.6509999999999998</v>
      </c>
      <c r="E187" s="2">
        <v>0.11360000000000001</v>
      </c>
      <c r="F187" s="1">
        <f t="shared" si="25"/>
        <v>51.080740932816987</v>
      </c>
      <c r="G187" s="1">
        <f t="shared" si="26"/>
        <v>86.146927979469382</v>
      </c>
      <c r="H187" s="1">
        <f t="shared" si="27"/>
        <v>-35.066187046652395</v>
      </c>
      <c r="K187" s="2">
        <v>78</v>
      </c>
      <c r="L187" s="2">
        <v>0.1056</v>
      </c>
      <c r="M187" s="2">
        <v>1.3260000000000001</v>
      </c>
      <c r="N187" s="2">
        <v>0.1235</v>
      </c>
      <c r="O187" s="1">
        <f t="shared" si="28"/>
        <v>53.549076820418691</v>
      </c>
      <c r="P187" s="1">
        <f t="shared" si="29"/>
        <v>89.384847899542706</v>
      </c>
      <c r="Q187" s="1">
        <f t="shared" si="30"/>
        <v>-35.835771079124015</v>
      </c>
    </row>
    <row r="188" spans="2:17" x14ac:dyDescent="0.3">
      <c r="B188" s="2">
        <v>79</v>
      </c>
      <c r="C188" s="2">
        <v>9.8159999999999997E-2</v>
      </c>
      <c r="D188" s="2">
        <v>7.6509999999999998</v>
      </c>
      <c r="E188" s="2">
        <v>0.11509999999999999</v>
      </c>
      <c r="F188" s="1">
        <f t="shared" si="25"/>
        <v>51.172594257075062</v>
      </c>
      <c r="G188" s="1">
        <f t="shared" si="26"/>
        <v>86.196993455551834</v>
      </c>
      <c r="H188" s="1">
        <f t="shared" si="27"/>
        <v>-35.024399198476772</v>
      </c>
      <c r="K188" s="2">
        <v>79</v>
      </c>
      <c r="L188" s="2">
        <v>0.1072</v>
      </c>
      <c r="M188" s="2">
        <v>1.3260000000000001</v>
      </c>
      <c r="N188" s="2">
        <v>0.1249</v>
      </c>
      <c r="O188" s="1">
        <f t="shared" si="28"/>
        <v>53.612002022815268</v>
      </c>
      <c r="P188" s="1">
        <f t="shared" si="29"/>
        <v>89.391742598251724</v>
      </c>
      <c r="Q188" s="1">
        <f t="shared" si="30"/>
        <v>-35.779740575436456</v>
      </c>
    </row>
    <row r="189" spans="2:17" x14ac:dyDescent="0.3">
      <c r="B189" s="2">
        <v>80</v>
      </c>
      <c r="C189" s="2">
        <v>9.9720000000000003E-2</v>
      </c>
      <c r="D189" s="2">
        <v>7.6520000000000001</v>
      </c>
      <c r="E189" s="2">
        <v>0.11650000000000001</v>
      </c>
      <c r="F189" s="1">
        <f t="shared" si="25"/>
        <v>51.261800305630111</v>
      </c>
      <c r="G189" s="1">
        <f t="shared" si="26"/>
        <v>86.242073413391665</v>
      </c>
      <c r="H189" s="1">
        <f t="shared" si="27"/>
        <v>-34.980273107761555</v>
      </c>
      <c r="K189" s="2">
        <v>80</v>
      </c>
      <c r="L189" s="2">
        <v>0.10879999999999999</v>
      </c>
      <c r="M189" s="2">
        <v>1.327</v>
      </c>
      <c r="N189" s="2">
        <v>0.12640000000000001</v>
      </c>
      <c r="O189" s="1">
        <f t="shared" si="28"/>
        <v>53.673174047879769</v>
      </c>
      <c r="P189" s="1">
        <f t="shared" si="29"/>
        <v>89.398507070545719</v>
      </c>
      <c r="Q189" s="1">
        <f t="shared" si="30"/>
        <v>-35.72533302266595</v>
      </c>
    </row>
    <row r="190" spans="2:17" x14ac:dyDescent="0.3">
      <c r="B190" s="2">
        <v>81</v>
      </c>
      <c r="C190" s="2">
        <v>0.1013</v>
      </c>
      <c r="D190" s="2">
        <v>7.6520000000000001</v>
      </c>
      <c r="E190" s="2">
        <v>0.1179</v>
      </c>
      <c r="F190" s="1">
        <f t="shared" si="25"/>
        <v>51.353989645586132</v>
      </c>
      <c r="G190" s="1">
        <f t="shared" si="26"/>
        <v>86.286571196124655</v>
      </c>
      <c r="H190" s="1">
        <f t="shared" si="27"/>
        <v>-34.932581550538522</v>
      </c>
      <c r="K190" s="2">
        <v>81</v>
      </c>
      <c r="L190" s="2">
        <v>0.1103</v>
      </c>
      <c r="M190" s="2">
        <v>1.3280000000000001</v>
      </c>
      <c r="N190" s="2">
        <v>0.1278</v>
      </c>
      <c r="O190" s="1">
        <f t="shared" si="28"/>
        <v>53.707897555939169</v>
      </c>
      <c r="P190" s="1">
        <f t="shared" si="29"/>
        <v>89.404647443369171</v>
      </c>
      <c r="Q190" s="1">
        <f t="shared" si="30"/>
        <v>-35.696749887430002</v>
      </c>
    </row>
    <row r="191" spans="2:17" x14ac:dyDescent="0.3">
      <c r="B191" s="2">
        <v>82</v>
      </c>
      <c r="C191" s="2">
        <v>0.1028</v>
      </c>
      <c r="D191" s="2">
        <v>7.6529999999999996</v>
      </c>
      <c r="E191" s="2">
        <v>0.11940000000000001</v>
      </c>
      <c r="F191" s="1">
        <f t="shared" si="25"/>
        <v>51.421848383517535</v>
      </c>
      <c r="G191" s="1">
        <f t="shared" si="26"/>
        <v>86.332616321905448</v>
      </c>
      <c r="H191" s="1">
        <f t="shared" si="27"/>
        <v>-34.910767938387913</v>
      </c>
      <c r="K191" s="2">
        <v>82</v>
      </c>
      <c r="L191" s="2">
        <v>0.1119</v>
      </c>
      <c r="M191" s="2">
        <v>1.329</v>
      </c>
      <c r="N191" s="2">
        <v>0.12920000000000001</v>
      </c>
      <c r="O191" s="1">
        <f t="shared" si="28"/>
        <v>53.76614528889543</v>
      </c>
      <c r="P191" s="1">
        <f t="shared" si="29"/>
        <v>89.410654756333187</v>
      </c>
      <c r="Q191" s="1">
        <f t="shared" si="30"/>
        <v>-35.644509467437757</v>
      </c>
    </row>
    <row r="192" spans="2:17" x14ac:dyDescent="0.3">
      <c r="B192" s="2">
        <v>83</v>
      </c>
      <c r="C192" s="2">
        <v>0.10440000000000001</v>
      </c>
      <c r="D192" s="2">
        <v>7.6529999999999996</v>
      </c>
      <c r="E192" s="2">
        <v>0.1208</v>
      </c>
      <c r="F192" s="1">
        <f t="shared" si="25"/>
        <v>51.514628006418086</v>
      </c>
      <c r="G192" s="1">
        <f t="shared" si="26"/>
        <v>86.375005120504255</v>
      </c>
      <c r="H192" s="1">
        <f t="shared" si="27"/>
        <v>-34.86037711408617</v>
      </c>
      <c r="K192" s="2">
        <v>83</v>
      </c>
      <c r="L192" s="2">
        <v>0.1134</v>
      </c>
      <c r="M192" s="2">
        <v>1.329</v>
      </c>
      <c r="N192" s="2">
        <v>0.13070000000000001</v>
      </c>
      <c r="O192" s="1">
        <f t="shared" si="28"/>
        <v>53.798767401113963</v>
      </c>
      <c r="P192" s="1">
        <f t="shared" si="29"/>
        <v>89.417418004856984</v>
      </c>
      <c r="Q192" s="1">
        <f t="shared" si="30"/>
        <v>-35.618650603743021</v>
      </c>
    </row>
    <row r="193" spans="2:17" x14ac:dyDescent="0.3">
      <c r="B193" s="2">
        <v>84</v>
      </c>
      <c r="C193" s="2">
        <v>0.106</v>
      </c>
      <c r="D193" s="2">
        <v>7.6529999999999996</v>
      </c>
      <c r="E193" s="2">
        <v>0.1222</v>
      </c>
      <c r="F193" s="1">
        <f t="shared" si="25"/>
        <v>51.604835496753971</v>
      </c>
      <c r="G193" s="1">
        <f t="shared" si="26"/>
        <v>86.416426492350524</v>
      </c>
      <c r="H193" s="1">
        <f t="shared" si="27"/>
        <v>-34.811590995596553</v>
      </c>
      <c r="K193" s="2">
        <v>84</v>
      </c>
      <c r="L193" s="2">
        <v>0.115</v>
      </c>
      <c r="M193" s="2">
        <v>1.33</v>
      </c>
      <c r="N193" s="2">
        <v>0.1321</v>
      </c>
      <c r="O193" s="1">
        <f t="shared" si="28"/>
        <v>53.854308188321852</v>
      </c>
      <c r="P193" s="1">
        <f t="shared" si="29"/>
        <v>89.423158122130872</v>
      </c>
      <c r="Q193" s="1">
        <f t="shared" si="30"/>
        <v>-35.56884993380902</v>
      </c>
    </row>
    <row r="194" spans="2:17" x14ac:dyDescent="0.3">
      <c r="B194" s="2">
        <v>85</v>
      </c>
      <c r="C194" s="2">
        <v>0.1075</v>
      </c>
      <c r="D194" s="2">
        <v>7.6539999999999999</v>
      </c>
      <c r="E194" s="2">
        <v>0.1236</v>
      </c>
      <c r="F194" s="1">
        <f t="shared" si="25"/>
        <v>51.666659890901371</v>
      </c>
      <c r="G194" s="1">
        <f t="shared" si="26"/>
        <v>86.456451353389468</v>
      </c>
      <c r="H194" s="1">
        <f t="shared" si="27"/>
        <v>-34.789791462488097</v>
      </c>
      <c r="K194" s="2">
        <v>85</v>
      </c>
      <c r="L194" s="2">
        <v>0.1166</v>
      </c>
      <c r="M194" s="2">
        <v>1.331</v>
      </c>
      <c r="N194" s="2">
        <v>0.13350000000000001</v>
      </c>
      <c r="O194" s="1">
        <f t="shared" si="28"/>
        <v>53.908400250822091</v>
      </c>
      <c r="P194" s="1">
        <f t="shared" si="29"/>
        <v>89.428777858650747</v>
      </c>
      <c r="Q194" s="1">
        <f t="shared" si="30"/>
        <v>-35.520377607828657</v>
      </c>
    </row>
    <row r="195" spans="2:17" x14ac:dyDescent="0.3">
      <c r="B195" s="2">
        <v>86</v>
      </c>
      <c r="C195" s="2">
        <v>0.1091</v>
      </c>
      <c r="D195" s="2">
        <v>7.6539999999999999</v>
      </c>
      <c r="E195" s="2">
        <v>0.12509999999999999</v>
      </c>
      <c r="F195" s="1">
        <f t="shared" si="25"/>
        <v>51.752430825537871</v>
      </c>
      <c r="G195" s="1">
        <f t="shared" si="26"/>
        <v>86.498833616778057</v>
      </c>
      <c r="H195" s="1">
        <f t="shared" si="27"/>
        <v>-34.746402791240186</v>
      </c>
      <c r="K195" s="2">
        <v>86</v>
      </c>
      <c r="L195" s="2">
        <v>0.1181</v>
      </c>
      <c r="M195" s="2">
        <v>1.331</v>
      </c>
      <c r="N195" s="2">
        <v>0.13489999999999999</v>
      </c>
      <c r="O195" s="1">
        <f t="shared" si="28"/>
        <v>53.938025977254789</v>
      </c>
      <c r="P195" s="1">
        <f t="shared" si="29"/>
        <v>89.434705648342245</v>
      </c>
      <c r="Q195" s="1">
        <f t="shared" si="30"/>
        <v>-35.496679671087456</v>
      </c>
    </row>
    <row r="196" spans="2:17" x14ac:dyDescent="0.3">
      <c r="B196" s="2">
        <v>87</v>
      </c>
      <c r="C196" s="2">
        <v>0.1106</v>
      </c>
      <c r="D196" s="2">
        <v>7.6550000000000002</v>
      </c>
      <c r="E196" s="2">
        <v>0.1265</v>
      </c>
      <c r="F196" s="1">
        <f t="shared" si="25"/>
        <v>51.810756935034796</v>
      </c>
      <c r="G196" s="1">
        <f t="shared" si="26"/>
        <v>86.537035627808137</v>
      </c>
      <c r="H196" s="1">
        <f t="shared" si="27"/>
        <v>-34.726278692773342</v>
      </c>
      <c r="K196" s="2">
        <v>87</v>
      </c>
      <c r="L196" s="2">
        <v>0.1197</v>
      </c>
      <c r="M196" s="2">
        <v>1.3320000000000001</v>
      </c>
      <c r="N196" s="2">
        <v>0.13639999999999999</v>
      </c>
      <c r="O196" s="1">
        <f t="shared" si="28"/>
        <v>53.98970688850374</v>
      </c>
      <c r="P196" s="1">
        <f t="shared" si="29"/>
        <v>89.440501814656429</v>
      </c>
      <c r="Q196" s="1">
        <f t="shared" si="30"/>
        <v>-35.450794926152689</v>
      </c>
    </row>
    <row r="197" spans="2:17" x14ac:dyDescent="0.3">
      <c r="B197" s="2">
        <v>88</v>
      </c>
      <c r="C197" s="2">
        <v>0.11219999999999999</v>
      </c>
      <c r="D197" s="2">
        <v>7.6550000000000002</v>
      </c>
      <c r="E197" s="2">
        <v>0.12790000000000001</v>
      </c>
      <c r="F197" s="1">
        <f t="shared" si="25"/>
        <v>51.892423122485141</v>
      </c>
      <c r="G197" s="1">
        <f t="shared" si="26"/>
        <v>86.574850673226663</v>
      </c>
      <c r="H197" s="1">
        <f t="shared" si="27"/>
        <v>-34.682427550741522</v>
      </c>
      <c r="K197" s="2">
        <v>88</v>
      </c>
      <c r="L197" s="2">
        <v>0.1212</v>
      </c>
      <c r="M197" s="2">
        <v>1.333</v>
      </c>
      <c r="N197" s="2">
        <v>0.13780000000000001</v>
      </c>
      <c r="O197" s="1">
        <f t="shared" si="28"/>
        <v>54.017626236127342</v>
      </c>
      <c r="P197" s="1">
        <f t="shared" si="29"/>
        <v>89.445770014938546</v>
      </c>
      <c r="Q197" s="1">
        <f t="shared" si="30"/>
        <v>-35.428143778811204</v>
      </c>
    </row>
    <row r="198" spans="2:17" x14ac:dyDescent="0.3">
      <c r="B198" s="2">
        <v>89</v>
      </c>
      <c r="C198" s="2">
        <v>0.1138</v>
      </c>
      <c r="D198" s="2">
        <v>7.6559999999999997</v>
      </c>
      <c r="E198" s="2">
        <v>0.12939999999999999</v>
      </c>
      <c r="F198" s="1">
        <f t="shared" si="25"/>
        <v>51.971968248942439</v>
      </c>
      <c r="G198" s="1">
        <f t="shared" si="26"/>
        <v>86.614020748418454</v>
      </c>
      <c r="H198" s="1">
        <f t="shared" si="27"/>
        <v>-34.642052499476016</v>
      </c>
      <c r="K198" s="2">
        <v>89</v>
      </c>
      <c r="L198" s="2">
        <v>0.12280000000000001</v>
      </c>
      <c r="M198" s="2">
        <v>1.333</v>
      </c>
      <c r="N198" s="2">
        <v>0.13919999999999999</v>
      </c>
      <c r="O198" s="1">
        <f t="shared" si="28"/>
        <v>54.067064017424272</v>
      </c>
      <c r="P198" s="1">
        <f t="shared" si="29"/>
        <v>89.451343824607164</v>
      </c>
      <c r="Q198" s="1">
        <f t="shared" si="30"/>
        <v>-35.384279807182892</v>
      </c>
    </row>
    <row r="199" spans="2:17" x14ac:dyDescent="0.3">
      <c r="B199" s="2">
        <v>90</v>
      </c>
      <c r="C199" s="2">
        <v>0.1153</v>
      </c>
      <c r="D199" s="2">
        <v>7.6559999999999997</v>
      </c>
      <c r="E199" s="2">
        <v>0.1308</v>
      </c>
      <c r="F199" s="1">
        <f t="shared" si="25"/>
        <v>52.025383565361857</v>
      </c>
      <c r="G199" s="1">
        <f t="shared" si="26"/>
        <v>86.650179141272417</v>
      </c>
      <c r="H199" s="1">
        <f t="shared" si="27"/>
        <v>-34.624795575910561</v>
      </c>
      <c r="K199" s="2">
        <v>90</v>
      </c>
      <c r="L199" s="2">
        <v>0.12429999999999999</v>
      </c>
      <c r="M199" s="2">
        <v>1.3340000000000001</v>
      </c>
      <c r="N199" s="2">
        <v>0.1406</v>
      </c>
      <c r="O199" s="1">
        <f t="shared" si="28"/>
        <v>54.093405159640973</v>
      </c>
      <c r="P199" s="1">
        <f t="shared" si="29"/>
        <v>89.45639917142914</v>
      </c>
      <c r="Q199" s="1">
        <f t="shared" si="30"/>
        <v>-35.362994011788167</v>
      </c>
    </row>
    <row r="200" spans="2:17" x14ac:dyDescent="0.3">
      <c r="B200" s="2">
        <v>91</v>
      </c>
      <c r="C200" s="2">
        <v>0.1169</v>
      </c>
      <c r="D200" s="2">
        <v>7.6559999999999997</v>
      </c>
      <c r="E200" s="2">
        <v>0.13220000000000001</v>
      </c>
      <c r="F200" s="1">
        <f t="shared" si="25"/>
        <v>52.101271725514735</v>
      </c>
      <c r="G200" s="1">
        <f t="shared" si="26"/>
        <v>86.685574285672089</v>
      </c>
      <c r="H200" s="1">
        <f t="shared" si="27"/>
        <v>-34.584302560157354</v>
      </c>
      <c r="K200" s="2">
        <v>91</v>
      </c>
      <c r="L200" s="2">
        <v>0.12590000000000001</v>
      </c>
      <c r="M200" s="2">
        <v>1.335</v>
      </c>
      <c r="N200" s="2">
        <v>0.1421</v>
      </c>
      <c r="O200" s="1">
        <f t="shared" si="28"/>
        <v>54.140752325253175</v>
      </c>
      <c r="P200" s="1">
        <f t="shared" si="29"/>
        <v>89.461733881892172</v>
      </c>
      <c r="Q200" s="1">
        <f t="shared" si="30"/>
        <v>-35.320981556638998</v>
      </c>
    </row>
    <row r="201" spans="2:17" x14ac:dyDescent="0.3">
      <c r="B201" s="2">
        <v>92</v>
      </c>
      <c r="C201" s="2">
        <v>0.11840000000000001</v>
      </c>
      <c r="D201" s="2">
        <v>7.657</v>
      </c>
      <c r="E201" s="2">
        <v>0.1336</v>
      </c>
      <c r="F201" s="1">
        <f t="shared" si="25"/>
        <v>52.151827661644433</v>
      </c>
      <c r="G201" s="1">
        <f t="shared" si="26"/>
        <v>86.719802612841761</v>
      </c>
      <c r="H201" s="1">
        <f t="shared" si="27"/>
        <v>-34.567974951197328</v>
      </c>
      <c r="K201" s="2">
        <v>92</v>
      </c>
      <c r="L201" s="2">
        <v>0.1275</v>
      </c>
      <c r="M201" s="2">
        <v>1.335</v>
      </c>
      <c r="N201" s="2">
        <v>0.14349999999999999</v>
      </c>
      <c r="O201" s="1">
        <f t="shared" si="28"/>
        <v>54.186965683355801</v>
      </c>
      <c r="P201" s="1">
        <f t="shared" si="29"/>
        <v>89.466984954185946</v>
      </c>
      <c r="Q201" s="1">
        <f t="shared" si="30"/>
        <v>-35.280019270830145</v>
      </c>
    </row>
    <row r="202" spans="2:17" x14ac:dyDescent="0.3">
      <c r="B202" s="2">
        <v>93</v>
      </c>
      <c r="C202" s="2">
        <v>0.12</v>
      </c>
      <c r="D202" s="2">
        <v>7.657</v>
      </c>
      <c r="E202" s="2">
        <v>0.1351</v>
      </c>
      <c r="F202" s="1">
        <f t="shared" si="25"/>
        <v>52.224315694045337</v>
      </c>
      <c r="G202" s="1">
        <f t="shared" si="26"/>
        <v>86.756144062119361</v>
      </c>
      <c r="H202" s="1">
        <f t="shared" si="27"/>
        <v>-34.531828368074024</v>
      </c>
      <c r="K202" s="2">
        <v>93</v>
      </c>
      <c r="L202" s="2">
        <v>0.129</v>
      </c>
      <c r="M202" s="2">
        <v>1.3360000000000001</v>
      </c>
      <c r="N202" s="2">
        <v>0.1449</v>
      </c>
      <c r="O202" s="1">
        <f t="shared" si="28"/>
        <v>54.211026540816668</v>
      </c>
      <c r="P202" s="1">
        <f t="shared" si="29"/>
        <v>89.471739182759819</v>
      </c>
      <c r="Q202" s="1">
        <f t="shared" si="30"/>
        <v>-35.260712641943151</v>
      </c>
    </row>
    <row r="203" spans="2:17" x14ac:dyDescent="0.3">
      <c r="B203" s="2">
        <v>94</v>
      </c>
      <c r="C203" s="2">
        <v>0.1215</v>
      </c>
      <c r="D203" s="2">
        <v>7.6580000000000004</v>
      </c>
      <c r="E203" s="2">
        <v>0.13650000000000001</v>
      </c>
      <c r="F203" s="1">
        <f t="shared" si="25"/>
        <v>52.272221853043092</v>
      </c>
      <c r="G203" s="1">
        <f t="shared" si="26"/>
        <v>86.788925983403345</v>
      </c>
      <c r="H203" s="1">
        <f t="shared" si="27"/>
        <v>-34.516704130360253</v>
      </c>
      <c r="K203" s="2">
        <v>94</v>
      </c>
      <c r="L203" s="2">
        <v>0.13059999999999999</v>
      </c>
      <c r="M203" s="2">
        <v>1.337</v>
      </c>
      <c r="N203" s="2">
        <v>0.1464</v>
      </c>
      <c r="O203" s="1">
        <f t="shared" si="28"/>
        <v>54.255359593094525</v>
      </c>
      <c r="P203" s="1">
        <f t="shared" si="29"/>
        <v>89.476760057103817</v>
      </c>
      <c r="Q203" s="1">
        <f t="shared" si="30"/>
        <v>-35.221400464009292</v>
      </c>
    </row>
    <row r="204" spans="2:17" x14ac:dyDescent="0.3">
      <c r="B204" s="2">
        <v>95</v>
      </c>
      <c r="C204" s="2">
        <v>0.1231</v>
      </c>
      <c r="D204" s="2">
        <v>7.6580000000000004</v>
      </c>
      <c r="E204" s="2">
        <v>0.13789999999999999</v>
      </c>
      <c r="F204" s="1">
        <f t="shared" si="25"/>
        <v>52.34154288466447</v>
      </c>
      <c r="G204" s="1">
        <f t="shared" si="26"/>
        <v>86.82145853340522</v>
      </c>
      <c r="H204" s="1">
        <f t="shared" si="27"/>
        <v>-34.47991564874075</v>
      </c>
      <c r="K204" s="2">
        <v>95</v>
      </c>
      <c r="L204" s="2">
        <v>0.1321</v>
      </c>
      <c r="M204" s="2">
        <v>1.337</v>
      </c>
      <c r="N204" s="2">
        <v>0.14779999999999999</v>
      </c>
      <c r="O204" s="1">
        <f t="shared" si="28"/>
        <v>54.278118364705414</v>
      </c>
      <c r="P204" s="1">
        <f t="shared" si="29"/>
        <v>89.481716050131126</v>
      </c>
      <c r="Q204" s="1">
        <f t="shared" si="30"/>
        <v>-35.203597685425713</v>
      </c>
    </row>
    <row r="205" spans="2:17" x14ac:dyDescent="0.3">
      <c r="B205" s="2">
        <v>96</v>
      </c>
      <c r="C205" s="2">
        <v>0.12470000000000001</v>
      </c>
      <c r="D205" s="2">
        <v>7.6589999999999998</v>
      </c>
      <c r="E205" s="2">
        <v>0.1394</v>
      </c>
      <c r="F205" s="1">
        <f t="shared" si="25"/>
        <v>52.409209770154995</v>
      </c>
      <c r="G205" s="1">
        <f t="shared" si="26"/>
        <v>86.855182130691915</v>
      </c>
      <c r="H205" s="1">
        <f t="shared" si="27"/>
        <v>-34.445972360536921</v>
      </c>
      <c r="K205" s="2">
        <v>96</v>
      </c>
      <c r="L205" s="2">
        <v>0.13370000000000001</v>
      </c>
      <c r="M205" s="2">
        <v>1.3380000000000001</v>
      </c>
      <c r="N205" s="2">
        <v>0.1492</v>
      </c>
      <c r="O205" s="1">
        <f t="shared" si="28"/>
        <v>54.320691570377534</v>
      </c>
      <c r="P205" s="1">
        <f t="shared" si="29"/>
        <v>89.486195053673839</v>
      </c>
      <c r="Q205" s="1">
        <f t="shared" si="30"/>
        <v>-35.165503483296305</v>
      </c>
    </row>
    <row r="206" spans="2:17" x14ac:dyDescent="0.3">
      <c r="B206" s="2">
        <v>97</v>
      </c>
      <c r="C206" s="2">
        <v>0.12620000000000001</v>
      </c>
      <c r="D206" s="2">
        <v>7.6589999999999998</v>
      </c>
      <c r="E206" s="2">
        <v>0.14080000000000001</v>
      </c>
      <c r="F206" s="1">
        <f t="shared" si="25"/>
        <v>52.45335533067253</v>
      </c>
      <c r="G206" s="1">
        <f t="shared" si="26"/>
        <v>86.886389792914002</v>
      </c>
      <c r="H206" s="1">
        <f t="shared" si="27"/>
        <v>-34.433034462241473</v>
      </c>
      <c r="K206" s="2">
        <v>97</v>
      </c>
      <c r="L206" s="2">
        <v>0.1353</v>
      </c>
      <c r="M206" s="2">
        <v>1.339</v>
      </c>
      <c r="N206" s="2">
        <v>0.15060000000000001</v>
      </c>
      <c r="O206" s="1">
        <f t="shared" si="28"/>
        <v>54.362301746270823</v>
      </c>
      <c r="P206" s="1">
        <f t="shared" si="29"/>
        <v>89.490590788356542</v>
      </c>
      <c r="Q206" s="1">
        <f t="shared" si="30"/>
        <v>-35.128289042085719</v>
      </c>
    </row>
    <row r="207" spans="2:17" x14ac:dyDescent="0.3">
      <c r="B207" s="2">
        <v>98</v>
      </c>
      <c r="C207" s="2">
        <v>0.1278</v>
      </c>
      <c r="D207" s="2">
        <v>7.6589999999999998</v>
      </c>
      <c r="E207" s="2">
        <v>0.14219999999999999</v>
      </c>
      <c r="F207" s="1">
        <f t="shared" si="25"/>
        <v>52.518173679834987</v>
      </c>
      <c r="G207" s="1">
        <f t="shared" si="26"/>
        <v>86.916984753498355</v>
      </c>
      <c r="H207" s="1">
        <f t="shared" si="27"/>
        <v>-34.398811073663367</v>
      </c>
      <c r="K207" s="2">
        <v>98</v>
      </c>
      <c r="L207" s="2">
        <v>0.1368</v>
      </c>
      <c r="M207" s="2">
        <v>1.339</v>
      </c>
      <c r="N207" s="2">
        <v>0.15210000000000001</v>
      </c>
      <c r="O207" s="1">
        <f t="shared" si="28"/>
        <v>54.383162574069381</v>
      </c>
      <c r="P207" s="1">
        <f t="shared" si="29"/>
        <v>89.495614287003676</v>
      </c>
      <c r="Q207" s="1">
        <f t="shared" si="30"/>
        <v>-35.112451712934295</v>
      </c>
    </row>
    <row r="208" spans="2:17" x14ac:dyDescent="0.3">
      <c r="B208" s="2">
        <v>99</v>
      </c>
      <c r="C208" s="2">
        <v>0.1293</v>
      </c>
      <c r="D208" s="2">
        <v>7.66</v>
      </c>
      <c r="E208" s="2">
        <v>0.14360000000000001</v>
      </c>
      <c r="F208" s="1">
        <f t="shared" si="25"/>
        <v>52.560118929575289</v>
      </c>
      <c r="G208" s="1">
        <f t="shared" si="26"/>
        <v>86.946587000166758</v>
      </c>
      <c r="H208" s="1">
        <f t="shared" si="27"/>
        <v>-34.386468070591469</v>
      </c>
      <c r="K208" s="2">
        <v>99</v>
      </c>
      <c r="L208" s="2">
        <v>0.1384</v>
      </c>
      <c r="M208" s="2">
        <v>1.34</v>
      </c>
      <c r="N208" s="2">
        <v>0.1535</v>
      </c>
      <c r="O208" s="1">
        <f t="shared" si="28"/>
        <v>54.423180405457103</v>
      </c>
      <c r="P208" s="1">
        <f t="shared" si="29"/>
        <v>89.4998410791693</v>
      </c>
      <c r="Q208" s="1">
        <f t="shared" si="30"/>
        <v>-35.076660673712198</v>
      </c>
    </row>
    <row r="209" spans="2:17" x14ac:dyDescent="0.3">
      <c r="B209" s="3">
        <v>100</v>
      </c>
      <c r="C209" s="3">
        <v>0.13089999999999999</v>
      </c>
      <c r="D209" s="3">
        <v>7.66</v>
      </c>
      <c r="E209" s="3">
        <v>0.14510000000000001</v>
      </c>
      <c r="F209" s="1">
        <f t="shared" si="25"/>
        <v>52.622273022130742</v>
      </c>
      <c r="G209" s="1">
        <f t="shared" si="26"/>
        <v>86.978093452362046</v>
      </c>
      <c r="H209" s="1">
        <f t="shared" si="27"/>
        <v>-34.355820430231304</v>
      </c>
      <c r="K209" s="2">
        <v>100</v>
      </c>
      <c r="L209" s="3">
        <v>0.1399</v>
      </c>
      <c r="M209" s="3">
        <v>1.34</v>
      </c>
      <c r="N209" s="3">
        <v>0.15490000000000001</v>
      </c>
      <c r="O209" s="1">
        <f t="shared" si="28"/>
        <v>54.442956366975388</v>
      </c>
      <c r="P209" s="1">
        <f t="shared" si="29"/>
        <v>89.504361333513273</v>
      </c>
      <c r="Q209" s="1">
        <f t="shared" si="30"/>
        <v>-35.061404966537886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744311194@qq.com</cp:lastModifiedBy>
  <dcterms:created xsi:type="dcterms:W3CDTF">2015-06-05T18:19:34Z</dcterms:created>
  <dcterms:modified xsi:type="dcterms:W3CDTF">2025-11-30T05:23:17Z</dcterms:modified>
</cp:coreProperties>
</file>