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大学文件\课程学习\大二上\电路实验仿真\082肖心亮924110800231（评优）\仿真实验（一）二阶电路的暂态响应\"/>
    </mc:Choice>
  </mc:AlternateContent>
  <xr:revisionPtr revIDLastSave="0" documentId="13_ncr:1_{A42FFB69-06A3-44DB-8241-D0DDFA6ADB7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I12" i="1"/>
  <c r="I9" i="1"/>
  <c r="I11" i="1"/>
  <c r="I10" i="1"/>
  <c r="I8" i="1"/>
  <c r="I7" i="1"/>
  <c r="I6" i="1"/>
  <c r="I5" i="1"/>
  <c r="I4" i="1"/>
  <c r="I3" i="1"/>
  <c r="I2" i="1"/>
  <c r="D2" i="1"/>
  <c r="G12" i="1"/>
  <c r="G3" i="1"/>
  <c r="G4" i="1"/>
  <c r="G5" i="1"/>
  <c r="G2" i="1"/>
  <c r="D21" i="1"/>
  <c r="D20" i="1"/>
  <c r="D19" i="1"/>
  <c r="D18" i="1"/>
  <c r="G6" i="1"/>
  <c r="G7" i="1"/>
  <c r="G8" i="1"/>
  <c r="G9" i="1"/>
  <c r="G10" i="1"/>
  <c r="G1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<sst xmlns="http://schemas.openxmlformats.org/spreadsheetml/2006/main" count="29" uniqueCount="29">
  <si>
    <t>δ/rad/s</t>
    <phoneticPr fontId="1" type="noConversion"/>
  </si>
  <si>
    <t>ω/rad/s</t>
    <phoneticPr fontId="1" type="noConversion"/>
  </si>
  <si>
    <r>
      <rPr>
        <sz val="11"/>
        <color theme="1"/>
        <rFont val="等线"/>
        <family val="2"/>
      </rPr>
      <t>时间</t>
    </r>
    <r>
      <rPr>
        <sz val="11"/>
        <color theme="1"/>
        <rFont val="Times New Roman"/>
        <family val="1"/>
      </rPr>
      <t>/ms</t>
    </r>
    <phoneticPr fontId="1" type="noConversion"/>
  </si>
  <si>
    <r>
      <rPr>
        <sz val="11"/>
        <color theme="1"/>
        <rFont val="等线"/>
        <family val="2"/>
      </rPr>
      <t>幅值</t>
    </r>
    <r>
      <rPr>
        <sz val="11"/>
        <color theme="1"/>
        <rFont val="Times New Roman"/>
        <family val="1"/>
      </rPr>
      <t>/V</t>
    </r>
    <phoneticPr fontId="1" type="noConversion"/>
  </si>
  <si>
    <r>
      <rPr>
        <sz val="11"/>
        <color theme="1"/>
        <rFont val="等线"/>
        <family val="2"/>
      </rPr>
      <t>标准化</t>
    </r>
    <r>
      <rPr>
        <sz val="11"/>
        <color theme="1"/>
        <rFont val="Times New Roman"/>
        <family val="1"/>
      </rPr>
      <t>/V</t>
    </r>
    <phoneticPr fontId="1" type="noConversion"/>
  </si>
  <si>
    <r>
      <rPr>
        <sz val="11"/>
        <color theme="1"/>
        <rFont val="等线"/>
        <family val="2"/>
      </rPr>
      <t>周期</t>
    </r>
    <r>
      <rPr>
        <sz val="11"/>
        <color theme="1"/>
        <rFont val="Times New Roman"/>
        <family val="1"/>
      </rPr>
      <t>/ms</t>
    </r>
    <phoneticPr fontId="1" type="noConversion"/>
  </si>
  <si>
    <r>
      <t>1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11</t>
    </r>
    <phoneticPr fontId="1" type="noConversion"/>
  </si>
  <si>
    <r>
      <t>1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3</t>
    </r>
    <phoneticPr fontId="1" type="noConversion"/>
  </si>
  <si>
    <r>
      <t>2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12</t>
    </r>
    <phoneticPr fontId="1" type="noConversion"/>
  </si>
  <si>
    <r>
      <t>2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4</t>
    </r>
    <phoneticPr fontId="1" type="noConversion"/>
  </si>
  <si>
    <r>
      <t>3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13</t>
    </r>
    <phoneticPr fontId="1" type="noConversion"/>
  </si>
  <si>
    <r>
      <t>5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7</t>
    </r>
    <phoneticPr fontId="1" type="noConversion"/>
  </si>
  <si>
    <r>
      <t>4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14</t>
    </r>
    <phoneticPr fontId="1" type="noConversion"/>
  </si>
  <si>
    <r>
      <t>6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8</t>
    </r>
    <phoneticPr fontId="1" type="noConversion"/>
  </si>
  <si>
    <r>
      <t>5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15</t>
    </r>
    <phoneticPr fontId="1" type="noConversion"/>
  </si>
  <si>
    <r>
      <t>9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11</t>
    </r>
    <phoneticPr fontId="1" type="noConversion"/>
  </si>
  <si>
    <r>
      <t>6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16</t>
    </r>
    <phoneticPr fontId="1" type="noConversion"/>
  </si>
  <si>
    <r>
      <t>10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12</t>
    </r>
    <phoneticPr fontId="1" type="noConversion"/>
  </si>
  <si>
    <r>
      <t>7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17</t>
    </r>
    <phoneticPr fontId="1" type="noConversion"/>
  </si>
  <si>
    <r>
      <t>13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15</t>
    </r>
    <phoneticPr fontId="1" type="noConversion"/>
  </si>
  <si>
    <r>
      <t>8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18</t>
    </r>
    <phoneticPr fontId="1" type="noConversion"/>
  </si>
  <si>
    <r>
      <t>14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16</t>
    </r>
    <phoneticPr fontId="1" type="noConversion"/>
  </si>
  <si>
    <r>
      <rPr>
        <sz val="11"/>
        <color theme="1"/>
        <rFont val="等线"/>
        <family val="2"/>
      </rPr>
      <t>去除</t>
    </r>
    <phoneticPr fontId="1" type="noConversion"/>
  </si>
  <si>
    <r>
      <t>9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19</t>
    </r>
    <phoneticPr fontId="1" type="noConversion"/>
  </si>
  <si>
    <r>
      <t>17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19</t>
    </r>
    <phoneticPr fontId="1" type="noConversion"/>
  </si>
  <si>
    <r>
      <t>10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20</t>
    </r>
    <phoneticPr fontId="1" type="noConversion"/>
  </si>
  <si>
    <r>
      <t>18</t>
    </r>
    <r>
      <rPr>
        <sz val="11"/>
        <color theme="1"/>
        <rFont val="等线"/>
        <family val="2"/>
      </rPr>
      <t>与</t>
    </r>
    <r>
      <rPr>
        <sz val="11"/>
        <color theme="1"/>
        <rFont val="Times New Roman"/>
        <family val="1"/>
      </rPr>
      <t>20</t>
    </r>
    <phoneticPr fontId="1" type="noConversion"/>
  </si>
  <si>
    <r>
      <rPr>
        <sz val="11"/>
        <color theme="1"/>
        <rFont val="等线"/>
        <family val="2"/>
      </rPr>
      <t>逐差公式</t>
    </r>
    <phoneticPr fontId="1" type="noConversion"/>
  </si>
  <si>
    <r>
      <rPr>
        <sz val="11"/>
        <color theme="1"/>
        <rFont val="等线"/>
        <family val="2"/>
      </rPr>
      <t>平均值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</si>
</sst>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30" zoomScaleNormal="130" workbookViewId="0">
      <selection activeCell="F13" sqref="F13"/>
    </sheetView>
  </sheetViews>
  <sheetFormatPr defaultRowHeight="14" x14ac:dyDescent="0.3"/>
  <cols>
    <col min="7" max="7" width="12.33203125" bestFit="1" customWidth="1"/>
  </cols>
  <sheetData>
    <row r="1" spans="1:10" x14ac:dyDescent="0.3">
      <c r="A1" s="1"/>
      <c r="B1" s="1" t="s">
        <v>2</v>
      </c>
      <c r="C1" s="1" t="s">
        <v>3</v>
      </c>
      <c r="D1" s="1" t="s">
        <v>4</v>
      </c>
      <c r="E1" s="1"/>
      <c r="F1" s="1"/>
      <c r="G1" s="1" t="s">
        <v>5</v>
      </c>
      <c r="H1" s="1"/>
      <c r="I1" s="1" t="s">
        <v>0</v>
      </c>
      <c r="J1" s="1"/>
    </row>
    <row r="2" spans="1:10" x14ac:dyDescent="0.3">
      <c r="A2" s="1">
        <v>1</v>
      </c>
      <c r="B2" s="1">
        <v>201.57900000000001</v>
      </c>
      <c r="C2" s="1">
        <v>9.5559999999999992</v>
      </c>
      <c r="D2" s="1">
        <f t="shared" ref="D2:D21" si="0">ABS(C2-5)</f>
        <v>4.5559999999999992</v>
      </c>
      <c r="E2" s="1"/>
      <c r="F2" s="1" t="s">
        <v>6</v>
      </c>
      <c r="G2" s="1">
        <f>B12-B2</f>
        <v>3.1399999999999864</v>
      </c>
      <c r="H2" s="1" t="s">
        <v>7</v>
      </c>
      <c r="I2" s="1">
        <f>(1/$G$12)*LN(D2/D4)*10^3</f>
        <v>498.89975524617194</v>
      </c>
      <c r="J2" s="1"/>
    </row>
    <row r="3" spans="1:10" x14ac:dyDescent="0.3">
      <c r="A3" s="1">
        <v>2</v>
      </c>
      <c r="B3" s="1">
        <v>201.89400000000001</v>
      </c>
      <c r="C3" s="1">
        <v>1.1100000000000001</v>
      </c>
      <c r="D3" s="1">
        <f t="shared" si="0"/>
        <v>3.8899999999999997</v>
      </c>
      <c r="E3" s="1"/>
      <c r="F3" s="1" t="s">
        <v>8</v>
      </c>
      <c r="G3" s="1">
        <f t="shared" ref="G3:G5" si="1">B13-B3</f>
        <v>3.1419999999999959</v>
      </c>
      <c r="H3" s="1" t="s">
        <v>9</v>
      </c>
      <c r="I3" s="1">
        <f>(1/$G$12)*LN(D3/D5)*10^3</f>
        <v>495.52711700836403</v>
      </c>
      <c r="J3" s="1"/>
    </row>
    <row r="4" spans="1:10" x14ac:dyDescent="0.3">
      <c r="A4" s="1">
        <v>3</v>
      </c>
      <c r="B4" s="1">
        <v>202.19900000000001</v>
      </c>
      <c r="C4" s="1">
        <v>8.3249999999999993</v>
      </c>
      <c r="D4" s="1">
        <f t="shared" si="0"/>
        <v>3.3249999999999993</v>
      </c>
      <c r="E4" s="1"/>
      <c r="F4" s="1" t="s">
        <v>10</v>
      </c>
      <c r="G4" s="1">
        <f t="shared" si="1"/>
        <v>3.1529999999999916</v>
      </c>
      <c r="H4" s="1" t="s">
        <v>11</v>
      </c>
      <c r="I4" s="1">
        <f>(1/$G$12)*LN(D6/D8)*10^3</f>
        <v>497.25829309723457</v>
      </c>
      <c r="J4" s="1"/>
    </row>
    <row r="5" spans="1:10" x14ac:dyDescent="0.3">
      <c r="A5" s="1">
        <v>4</v>
      </c>
      <c r="B5" s="1">
        <v>202.51499999999999</v>
      </c>
      <c r="C5" s="1">
        <v>2.1549999999999998</v>
      </c>
      <c r="D5" s="1">
        <f t="shared" si="0"/>
        <v>2.8450000000000002</v>
      </c>
      <c r="E5" s="1"/>
      <c r="F5" s="1" t="s">
        <v>12</v>
      </c>
      <c r="G5" s="1">
        <f t="shared" si="1"/>
        <v>3.2010000000000218</v>
      </c>
      <c r="H5" s="1" t="s">
        <v>13</v>
      </c>
      <c r="I5" s="1">
        <f>(1/$G$12)*LN(D7/D9)*10^3</f>
        <v>498.41795595184902</v>
      </c>
      <c r="J5" s="1"/>
    </row>
    <row r="6" spans="1:10" x14ac:dyDescent="0.3">
      <c r="A6" s="1">
        <v>5</v>
      </c>
      <c r="B6" s="1">
        <v>202.83199999999999</v>
      </c>
      <c r="C6" s="1">
        <v>7.431</v>
      </c>
      <c r="D6" s="1">
        <f t="shared" si="0"/>
        <v>2.431</v>
      </c>
      <c r="E6" s="1"/>
      <c r="F6" s="1" t="s">
        <v>14</v>
      </c>
      <c r="G6" s="1">
        <f t="shared" ref="G6:G11" si="2">(B12-B2)</f>
        <v>3.1399999999999864</v>
      </c>
      <c r="H6" s="1" t="s">
        <v>15</v>
      </c>
      <c r="I6" s="1">
        <f>(1/$G$12)*LN(D10/D12)*10^3</f>
        <v>496.94108360969039</v>
      </c>
      <c r="J6" s="1"/>
    </row>
    <row r="7" spans="1:10" x14ac:dyDescent="0.3">
      <c r="A7" s="1">
        <v>6</v>
      </c>
      <c r="B7" s="1">
        <v>203.148</v>
      </c>
      <c r="C7" s="1">
        <v>2.9220000000000002</v>
      </c>
      <c r="D7" s="1">
        <f t="shared" si="0"/>
        <v>2.0779999999999998</v>
      </c>
      <c r="E7" s="1"/>
      <c r="F7" s="1" t="s">
        <v>16</v>
      </c>
      <c r="G7" s="1">
        <f t="shared" si="2"/>
        <v>3.1419999999999959</v>
      </c>
      <c r="H7" s="1" t="s">
        <v>17</v>
      </c>
      <c r="I7" s="1">
        <f>(1/$G$12)*LN(D11/D13)*10^3</f>
        <v>494.25636454496208</v>
      </c>
      <c r="J7" s="1"/>
    </row>
    <row r="8" spans="1:10" x14ac:dyDescent="0.3">
      <c r="A8" s="1">
        <v>7</v>
      </c>
      <c r="B8" s="1">
        <v>203.465</v>
      </c>
      <c r="C8" s="1">
        <v>6.7759999999999998</v>
      </c>
      <c r="D8" s="1">
        <f t="shared" si="0"/>
        <v>1.7759999999999998</v>
      </c>
      <c r="E8" s="1"/>
      <c r="F8" s="1" t="s">
        <v>18</v>
      </c>
      <c r="G8" s="1">
        <f t="shared" si="2"/>
        <v>3.1529999999999916</v>
      </c>
      <c r="H8" s="1" t="s">
        <v>19</v>
      </c>
      <c r="I8" s="1">
        <f>(1/$G$12)*LN(D14/D16)*10^3</f>
        <v>495.8489662150406</v>
      </c>
      <c r="J8" s="1"/>
    </row>
    <row r="9" spans="1:10" x14ac:dyDescent="0.3">
      <c r="A9" s="1">
        <v>8</v>
      </c>
      <c r="B9" s="1">
        <v>203.78100000000001</v>
      </c>
      <c r="C9" s="1">
        <v>3.4830000000000001</v>
      </c>
      <c r="D9" s="1">
        <f t="shared" si="0"/>
        <v>1.5169999999999999</v>
      </c>
      <c r="E9" s="1"/>
      <c r="F9" s="1" t="s">
        <v>20</v>
      </c>
      <c r="G9" s="1">
        <f t="shared" si="2"/>
        <v>3.2010000000000218</v>
      </c>
      <c r="H9" s="1" t="s">
        <v>21</v>
      </c>
      <c r="I9" s="1">
        <f>(1/$G$12)*LN(D15/D17)*10^3</f>
        <v>306.44878189434269</v>
      </c>
      <c r="J9" s="1" t="s">
        <v>22</v>
      </c>
    </row>
    <row r="10" spans="1:10" x14ac:dyDescent="0.3">
      <c r="A10" s="1">
        <v>9</v>
      </c>
      <c r="B10" s="1">
        <v>204.08600000000001</v>
      </c>
      <c r="C10" s="1">
        <v>6.2960000000000003</v>
      </c>
      <c r="D10" s="1">
        <f t="shared" si="0"/>
        <v>1.2960000000000003</v>
      </c>
      <c r="E10" s="1"/>
      <c r="F10" s="1" t="s">
        <v>23</v>
      </c>
      <c r="G10" s="1">
        <f t="shared" si="2"/>
        <v>3.15300000000002</v>
      </c>
      <c r="H10" s="1" t="s">
        <v>24</v>
      </c>
      <c r="I10" s="1">
        <f>(1/$G$12)*LN(D18/D20)*10^3</f>
        <v>494.78044325110619</v>
      </c>
      <c r="J10" s="1"/>
    </row>
    <row r="11" spans="1:10" x14ac:dyDescent="0.3">
      <c r="A11" s="1">
        <v>10</v>
      </c>
      <c r="B11" s="1">
        <v>204.40299999999999</v>
      </c>
      <c r="C11" s="1">
        <v>3.8919999999999999</v>
      </c>
      <c r="D11" s="1">
        <f t="shared" si="0"/>
        <v>1.1080000000000001</v>
      </c>
      <c r="E11" s="1"/>
      <c r="F11" s="1" t="s">
        <v>25</v>
      </c>
      <c r="G11" s="1">
        <f t="shared" si="2"/>
        <v>3.1419999999999959</v>
      </c>
      <c r="H11" s="1" t="s">
        <v>26</v>
      </c>
      <c r="I11" s="1">
        <f>(1/$G$12)*LN(D19/D21)*10^3</f>
        <v>496.28489097018814</v>
      </c>
      <c r="J11" s="1"/>
    </row>
    <row r="12" spans="1:10" x14ac:dyDescent="0.3">
      <c r="A12" s="1">
        <v>11</v>
      </c>
      <c r="B12" s="1">
        <v>204.71899999999999</v>
      </c>
      <c r="C12" s="1">
        <v>5.9470000000000001</v>
      </c>
      <c r="D12" s="1">
        <f t="shared" si="0"/>
        <v>0.94700000000000006</v>
      </c>
      <c r="E12" s="1"/>
      <c r="F12" s="1" t="s">
        <v>27</v>
      </c>
      <c r="G12" s="1">
        <f>2*SUM(G2:G11)/100</f>
        <v>0.63134000000000012</v>
      </c>
      <c r="H12" s="1" t="s">
        <v>28</v>
      </c>
      <c r="I12" s="1">
        <f>AVERAGE(I2:I8,I10:I11)</f>
        <v>496.46831887717849</v>
      </c>
      <c r="J12" s="1"/>
    </row>
    <row r="13" spans="1:10" x14ac:dyDescent="0.3">
      <c r="A13" s="1">
        <v>12</v>
      </c>
      <c r="B13" s="1">
        <v>205.036</v>
      </c>
      <c r="C13" s="1">
        <v>4.1890000000000001</v>
      </c>
      <c r="D13" s="1">
        <f t="shared" si="0"/>
        <v>0.81099999999999994</v>
      </c>
      <c r="E13" s="1"/>
      <c r="F13" s="1" t="s">
        <v>1</v>
      </c>
      <c r="G13" s="1">
        <f>2000*PI()/G12</f>
        <v>9952.1419634104986</v>
      </c>
      <c r="H13" s="1"/>
      <c r="I13" s="1"/>
      <c r="J13" s="1"/>
    </row>
    <row r="14" spans="1:10" x14ac:dyDescent="0.3">
      <c r="A14" s="1">
        <v>13</v>
      </c>
      <c r="B14" s="1">
        <v>205.352</v>
      </c>
      <c r="C14" s="1">
        <v>5.6920000000000002</v>
      </c>
      <c r="D14" s="1">
        <f t="shared" si="0"/>
        <v>0.69200000000000017</v>
      </c>
      <c r="E14" s="1"/>
      <c r="F14" s="1"/>
      <c r="G14" s="1"/>
      <c r="H14" s="1"/>
      <c r="I14" s="1"/>
      <c r="J14" s="1"/>
    </row>
    <row r="15" spans="1:10" x14ac:dyDescent="0.3">
      <c r="A15" s="1">
        <v>14</v>
      </c>
      <c r="B15" s="1">
        <v>205.71600000000001</v>
      </c>
      <c r="C15" s="1">
        <v>4.4770000000000003</v>
      </c>
      <c r="D15" s="1">
        <f t="shared" si="0"/>
        <v>0.52299999999999969</v>
      </c>
      <c r="E15" s="1"/>
      <c r="F15" s="1"/>
      <c r="G15" s="1"/>
      <c r="H15" s="1"/>
      <c r="I15" s="1"/>
      <c r="J15" s="1"/>
    </row>
    <row r="16" spans="1:10" x14ac:dyDescent="0.3">
      <c r="A16" s="1">
        <v>15</v>
      </c>
      <c r="B16" s="1">
        <v>205.98500000000001</v>
      </c>
      <c r="C16" s="1">
        <v>5.5060000000000002</v>
      </c>
      <c r="D16" s="1">
        <f t="shared" si="0"/>
        <v>0.50600000000000023</v>
      </c>
      <c r="E16" s="1"/>
      <c r="F16" s="1"/>
      <c r="G16" s="1"/>
      <c r="H16" s="1"/>
      <c r="I16" s="1"/>
      <c r="J16" s="1"/>
    </row>
    <row r="17" spans="1:10" x14ac:dyDescent="0.3">
      <c r="A17" s="1">
        <v>16</v>
      </c>
      <c r="B17" s="1">
        <v>206.29</v>
      </c>
      <c r="C17" s="1">
        <v>4.569</v>
      </c>
      <c r="D17" s="1">
        <f t="shared" si="0"/>
        <v>0.43100000000000005</v>
      </c>
      <c r="E17" s="1"/>
      <c r="F17" s="1"/>
      <c r="G17" s="1"/>
      <c r="H17" s="1"/>
      <c r="I17" s="1"/>
      <c r="J17" s="1"/>
    </row>
    <row r="18" spans="1:10" x14ac:dyDescent="0.3">
      <c r="A18" s="1">
        <v>17</v>
      </c>
      <c r="B18" s="1">
        <v>206.607</v>
      </c>
      <c r="C18" s="1">
        <v>5.3689999999999998</v>
      </c>
      <c r="D18" s="1">
        <f t="shared" si="0"/>
        <v>0.36899999999999977</v>
      </c>
      <c r="E18" s="1"/>
      <c r="F18" s="1"/>
      <c r="G18" s="1"/>
      <c r="H18" s="1"/>
      <c r="I18" s="1"/>
      <c r="J18" s="1"/>
    </row>
    <row r="19" spans="1:10" x14ac:dyDescent="0.3">
      <c r="A19" s="1">
        <v>18</v>
      </c>
      <c r="B19" s="1">
        <v>206.923</v>
      </c>
      <c r="C19" s="1">
        <v>4.6840000000000002</v>
      </c>
      <c r="D19" s="1">
        <f t="shared" si="0"/>
        <v>0.31599999999999984</v>
      </c>
      <c r="E19" s="1"/>
      <c r="F19" s="1"/>
      <c r="G19" s="1"/>
      <c r="H19" s="1"/>
      <c r="I19" s="1"/>
      <c r="J19" s="1"/>
    </row>
    <row r="20" spans="1:10" x14ac:dyDescent="0.3">
      <c r="A20" s="1">
        <v>19</v>
      </c>
      <c r="B20" s="1">
        <v>207.24</v>
      </c>
      <c r="C20" s="1">
        <v>5.27</v>
      </c>
      <c r="D20" s="1">
        <f t="shared" si="0"/>
        <v>0.26999999999999957</v>
      </c>
      <c r="E20" s="1"/>
      <c r="F20" s="1"/>
      <c r="G20" s="1"/>
      <c r="H20" s="1"/>
      <c r="I20" s="1"/>
      <c r="J20" s="1"/>
    </row>
    <row r="21" spans="1:10" x14ac:dyDescent="0.3">
      <c r="A21" s="1">
        <v>20</v>
      </c>
      <c r="B21" s="1">
        <v>207.55600000000001</v>
      </c>
      <c r="C21" s="1">
        <v>4.7690000000000001</v>
      </c>
      <c r="D21" s="1">
        <f t="shared" si="0"/>
        <v>0.23099999999999987</v>
      </c>
      <c r="E21" s="1"/>
      <c r="F21" s="1"/>
      <c r="G21" s="1"/>
      <c r="H21" s="1"/>
      <c r="I21" s="1"/>
      <c r="J21" s="1"/>
    </row>
  </sheetData>
  <phoneticPr fontId="1" type="noConversion"/>
  <pageMargins left="0.7" right="0.7" top="0.75" bottom="0.75" header="0.3" footer="0.3"/>
  <ignoredErrors>
    <ignoredError sqref="I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744311194@qq.com</cp:lastModifiedBy>
  <dcterms:created xsi:type="dcterms:W3CDTF">2015-06-05T18:19:34Z</dcterms:created>
  <dcterms:modified xsi:type="dcterms:W3CDTF">2025-11-29T15:25:29Z</dcterms:modified>
</cp:coreProperties>
</file>